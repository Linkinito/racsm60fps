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7c5bf1570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23ddf1f55db84b94"/>
    <x:sheet xmlns:r="http://schemas.openxmlformats.org/officeDocument/2006/relationships" name="Armes" sheetId="2" r:id="R8f5ba364c976483b"/>
    <x:sheet xmlns:r="http://schemas.openxmlformats.org/officeDocument/2006/relationships" name="Niveaux armes" sheetId="3" r:id="R8830768fc70c4c33"/>
    <x:sheet xmlns:r="http://schemas.openxmlformats.org/officeDocument/2006/relationships" name="Dégâts armes" sheetId="4" r:id="R90837e6b714e45fe"/>
    <x:sheet xmlns:r="http://schemas.openxmlformats.org/officeDocument/2006/relationships" name="Timings armes" sheetId="5" r:id="R23fd38c0441b4aac"/>
    <x:sheet xmlns:r="http://schemas.openxmlformats.org/officeDocument/2006/relationships" name="Mods" sheetId="6" r:id="R99a91dcb9bcc4ba5"/>
    <x:sheet xmlns:r="http://schemas.openxmlformats.org/officeDocument/2006/relationships" name="Ennemis" sheetId="7" r:id="R3b67a8423db84792"/>
    <x:sheet xmlns:r="http://schemas.openxmlformats.org/officeDocument/2006/relationships" name="Récompenses ennemis" sheetId="8" r:id="R80a0b3f9e9d448ba"/>
    <x:sheet xmlns:r="http://schemas.openxmlformats.org/officeDocument/2006/relationships" name="Timings ennemis" sheetId="9" r:id="Rd5efa7a57f6d486d"/>
    <x:sheet xmlns:r="http://schemas.openxmlformats.org/officeDocument/2006/relationships" name="Table dégâts brute" sheetId="10" r:id="R103e1959caff4391"/>
    <x:sheet xmlns:r="http://schemas.openxmlformats.org/officeDocument/2006/relationships" name="Preuves &amp; structures" sheetId="11" r:id="Rb36f743e071245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"/>
    <x:numFmt numFmtId="202" formatCode="0.000000"/>
    <x:numFmt numFmtId="203" formatCode="0.0000"/>
    <x:numFmt numFmtId="204" formatCode="#,##0.00"/>
  </x:numFmts>
  <x:fonts count="16">
    <x:font>
      <x:sz val="11"/>
      <x:name val="Carlito"/>
    </x:font>
    <x:font>
      <x:b/>
      <x:sz val="18"/>
      <x:color rgb="FFFFFFFF"/>
      <x:name val="Carlito"/>
    </x:font>
    <x:font>
      <x:sz val="10"/>
      <x:color rgb="FF164E63"/>
      <x:name val="Carlito"/>
    </x:font>
    <x:font>
      <x:b/>
      <x:sz val="12"/>
      <x:color rgb="FFFFFFFF"/>
      <x:name val="Carlito"/>
    </x:font>
    <x:font>
      <x:b/>
      <x:sz val="11"/>
      <x:color rgb="FF334155"/>
      <x:name val="Carlito"/>
    </x:font>
    <x:font>
      <x:b/>
      <x:sz val="13"/>
      <x:color rgb="FF1E40AF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  <x:font>
      <x:b/>
      <x:sz val="11"/>
      <x:color rgb="FF166534"/>
      <x:name val="Carlito"/>
    </x:font>
    <x:font>
      <x:b/>
      <x:sz val="11"/>
      <x:color rgb="FF92400E"/>
      <x:name val="Carlito"/>
    </x:font>
    <x:font>
      <x:b/>
      <x:sz val="11"/>
      <x:color rgb="FF991B1B"/>
      <x:name val="Carlito"/>
    </x:font>
    <x:font>
      <x:sz val="10"/>
      <x:color rgb="FF7C2D12"/>
      <x:name val="Carlito"/>
    </x:font>
    <x:font>
      <x:b/>
      <x:sz val="10"/>
      <x:color rgb="FFFFFFFF"/>
      <x:name val="Carlito"/>
    </x:font>
    <x:font>
      <x:sz val="9"/>
      <x:color rgb="FF334155"/>
      <x:name val="Carlito"/>
    </x:font>
    <x:font>
      <x:b/>
      <x:sz val="11"/>
      <x:color rgb="FF1E40AF"/>
      <x:name val="Carlito"/>
    </x:font>
    <x:font>
      <x:b/>
      <x:sz val="9"/>
      <x:color rgb="FF334155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CFFAFE"/>
      </x:patternFill>
    </x:fill>
    <x:fill>
      <x:patternFill patternType="solid">
        <x:fgColor rgb="FF0E7490"/>
      </x:patternFill>
    </x:fill>
    <x:fill>
      <x:patternFill patternType="solid">
        <x:fgColor rgb="FFF1F5F9"/>
      </x:patternFill>
    </x:fill>
    <x:fill>
      <x:patternFill patternType="solid">
        <x:fgColor rgb="FFDBEAFE"/>
      </x:patternFill>
    </x:fill>
    <x:fill>
      <x:patternFill patternType="solid">
        <x:fgColor rgb="FF164E63"/>
      </x:patternFill>
    </x:fill>
    <x:fill>
      <x:patternFill patternType="solid">
        <x:fgColor rgb="FFF8FAF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FFF7ED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164E63"/>
      </x:left>
      <x:top style="thin">
        <x:color rgb="FF164E63"/>
      </x:top>
      <x:bottom style="thin">
        <x:color rgb="FF164E63"/>
      </x:bottom>
    </x:border>
    <x:border>
      <x:top style="thin">
        <x:color rgb="FF164E63"/>
      </x:top>
      <x:bottom style="thin">
        <x:color rgb="FF164E63"/>
      </x:bottom>
    </x:border>
    <x:border>
      <x:right style="thin">
        <x:color rgb="FF164E63"/>
      </x:right>
      <x:top style="thin">
        <x:color rgb="FF164E63"/>
      </x:top>
      <x:bottom style="thin">
        <x:color rgb="FF164E63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0" fontId="4" fillId="5" borderId="1" xfId="0" applyNumberFormat="1" applyFont="1" applyFill="1" applyBorder="1"/>
    <x:xf numFmtId="200" fontId="5" fillId="6" borderId="2" xfId="0" applyNumberFormat="1" applyFont="1" applyFill="1" applyBorder="1"/>
    <x:xf numFmtId="0" fontId="4" fillId="5" borderId="3" xfId="0" applyNumberFormat="1" applyFont="1" applyFill="1" applyBorder="1"/>
    <x:xf numFmtId="200" fontId="5" fillId="6" borderId="4" xfId="0" applyNumberFormat="1" applyFont="1" applyFill="1" applyBorder="1"/>
    <x:xf numFmtId="0" fontId="4" fillId="5" borderId="5" xfId="0" applyNumberFormat="1" applyFont="1" applyFill="1" applyBorder="1"/>
    <x:xf numFmtId="200" fontId="5" fillId="6" borderId="6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vertical="top" wrapText="1"/>
    </x:xf>
    <x:xf numFmtId="0" fontId="12" fillId="7" borderId="0" xfId="0" applyNumberFormat="1" applyFont="1" applyFill="1" applyBorder="1"/>
    <x:xf numFmtId="0" fontId="12" fillId="7" borderId="7" xfId="0" applyNumberFormat="1" applyFont="1" applyFill="1" applyBorder="1"/>
    <x:xf numFmtId="0" fontId="12" fillId="7" borderId="8" xfId="0" applyNumberFormat="1" applyFont="1" applyFill="1" applyBorder="1"/>
    <x:xf numFmtId="0" fontId="12" fillId="7" borderId="9" xfId="0" applyNumberFormat="1" applyFont="1" applyFill="1" applyBorder="1"/>
    <x:xf numFmtId="0" fontId="12" fillId="7" borderId="7" xfId="0" applyNumberFormat="1" applyFont="1" applyFill="1" applyBorder="1" applyAlignment="1">
      <x:alignment wrapText="1"/>
    </x:xf>
    <x:xf numFmtId="0" fontId="12" fillId="7" borderId="8" xfId="0" applyNumberFormat="1" applyFont="1" applyFill="1" applyBorder="1" applyAlignment="1">
      <x:alignment wrapText="1"/>
    </x:xf>
    <x:xf numFmtId="0" fontId="12" fillId="7" borderId="9" xfId="0" applyNumberFormat="1" applyFont="1" applyFill="1" applyBorder="1" applyAlignment="1">
      <x:alignment wrapText="1"/>
    </x:xf>
    <x:xf numFmtId="0" fontId="12" fillId="7" borderId="7" xfId="0" applyNumberFormat="1" applyFont="1" applyFill="1" applyBorder="1" applyAlignment="1">
      <x:alignment vertical="center" wrapText="1"/>
    </x:xf>
    <x:xf numFmtId="0" fontId="12" fillId="7" borderId="8" xfId="0" applyNumberFormat="1" applyFont="1" applyFill="1" applyBorder="1" applyAlignment="1">
      <x:alignment vertical="center" wrapText="1"/>
    </x:xf>
    <x:xf numFmtId="0" fontId="12" fillId="7" borderId="9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3" fillId="0" borderId="10" xfId="0" applyNumberFormat="1" applyFont="1" applyFill="1" applyBorder="1"/>
    <x:xf numFmtId="0" fontId="13" fillId="0" borderId="11" xfId="0" applyNumberFormat="1" applyFont="1" applyFill="1" applyBorder="1"/>
    <x:xf numFmtId="0" fontId="13" fillId="0" borderId="12" xfId="0" applyNumberFormat="1" applyFont="1" applyFill="1" applyBorder="1"/>
    <x:xf numFmtId="0" fontId="13" fillId="0" borderId="10" xfId="0" applyNumberFormat="1" applyFont="1" applyFill="1" applyBorder="1" applyAlignment="1">
      <x:alignment vertical="top"/>
    </x:xf>
    <x:xf numFmtId="0" fontId="13" fillId="0" borderId="11" xfId="0" applyNumberFormat="1" applyFont="1" applyFill="1" applyBorder="1" applyAlignment="1">
      <x:alignment vertical="top"/>
    </x:xf>
    <x:xf numFmtId="0" fontId="13" fillId="0" borderId="12" xfId="0" applyNumberFormat="1" applyFont="1" applyFill="1" applyBorder="1" applyAlignment="1">
      <x:alignment vertical="top"/>
    </x:xf>
    <x:xf numFmtId="200" fontId="13" fillId="0" borderId="10" xfId="0" applyNumberFormat="1" applyFont="1" applyFill="1" applyBorder="1" applyAlignment="1">
      <x:alignment vertical="top"/>
    </x:xf>
    <x:xf numFmtId="200" fontId="13" fillId="0" borderId="11" xfId="0" applyNumberFormat="1" applyFont="1" applyFill="1" applyBorder="1" applyAlignment="1">
      <x:alignment vertical="top"/>
    </x:xf>
    <x:xf numFmtId="200" fontId="13" fillId="0" borderId="12" xfId="0" applyNumberFormat="1" applyFont="1" applyFill="1" applyBorder="1" applyAlignment="1">
      <x:alignment vertical="top"/>
    </x:xf>
    <x:xf numFmtId="0" fontId="13" fillId="0" borderId="10" xfId="0" applyNumberFormat="1" applyFont="1" applyFill="1" applyBorder="1" applyAlignment="1">
      <x:alignment vertical="top" wrapText="1"/>
    </x:xf>
    <x:xf numFmtId="0" fontId="13" fillId="0" borderId="11" xfId="0" applyNumberFormat="1" applyFont="1" applyFill="1" applyBorder="1" applyAlignment="1">
      <x:alignment vertical="top" wrapText="1"/>
    </x:xf>
    <x:xf numFmtId="0" fontId="13" fillId="0" borderId="12" xfId="0" applyNumberFormat="1" applyFont="1" applyFill="1" applyBorder="1" applyAlignment="1">
      <x:alignment vertical="top" wrapText="1"/>
    </x:xf>
    <x:xf numFmtId="201" fontId="13" fillId="0" borderId="10" xfId="0" applyNumberFormat="1" applyFont="1" applyFill="1" applyBorder="1" applyAlignment="1">
      <x:alignment vertical="top"/>
    </x:xf>
    <x:xf numFmtId="201" fontId="13" fillId="0" borderId="11" xfId="0" applyNumberFormat="1" applyFont="1" applyFill="1" applyBorder="1" applyAlignment="1">
      <x:alignment vertical="top"/>
    </x:xf>
    <x:xf numFmtId="201" fontId="13" fillId="0" borderId="12" xfId="0" applyNumberFormat="1" applyFont="1" applyFill="1" applyBorder="1" applyAlignment="1">
      <x:alignment vertical="top"/>
    </x:xf>
    <x:xf numFmtId="202" fontId="13" fillId="0" borderId="10" xfId="0" applyNumberFormat="1" applyFont="1" applyFill="1" applyBorder="1" applyAlignment="1">
      <x:alignment vertical="top"/>
    </x:xf>
    <x:xf numFmtId="202" fontId="13" fillId="0" borderId="11" xfId="0" applyNumberFormat="1" applyFont="1" applyFill="1" applyBorder="1" applyAlignment="1">
      <x:alignment vertical="top"/>
    </x:xf>
    <x:xf numFmtId="202" fontId="13" fillId="0" borderId="12" xfId="0" applyNumberFormat="1" applyFont="1" applyFill="1" applyBorder="1" applyAlignment="1">
      <x:alignment vertical="top"/>
    </x:xf>
    <x:xf numFmtId="0" fontId="14" fillId="6" borderId="0" xfId="0" applyNumberFormat="1" applyFont="1" applyFill="1" applyBorder="1"/>
    <x:xf numFmtId="200" fontId="14" fillId="6" borderId="0" xfId="0" applyNumberFormat="1" applyFont="1" applyFill="1" applyBorder="1"/>
    <x:xf numFmtId="203" fontId="13" fillId="0" borderId="10" xfId="0" applyNumberFormat="1" applyFont="1" applyFill="1" applyBorder="1" applyAlignment="1">
      <x:alignment vertical="top"/>
    </x:xf>
    <x:xf numFmtId="203" fontId="13" fillId="0" borderId="11" xfId="0" applyNumberFormat="1" applyFont="1" applyFill="1" applyBorder="1" applyAlignment="1">
      <x:alignment vertical="top"/>
    </x:xf>
    <x:xf numFmtId="203" fontId="13" fillId="0" borderId="12" xfId="0" applyNumberFormat="1" applyFont="1" applyFill="1" applyBorder="1" applyAlignment="1">
      <x:alignment vertical="top"/>
    </x:xf>
    <x:xf numFmtId="204" fontId="13" fillId="0" borderId="10" xfId="0" applyNumberFormat="1" applyFont="1" applyFill="1" applyBorder="1" applyAlignment="1">
      <x:alignment vertical="top"/>
    </x:xf>
    <x:xf numFmtId="204" fontId="13" fillId="0" borderId="11" xfId="0" applyNumberFormat="1" applyFont="1" applyFill="1" applyBorder="1" applyAlignment="1">
      <x:alignment vertical="top"/>
    </x:xf>
    <x:xf numFmtId="204" fontId="13" fillId="0" borderId="12" xfId="0" applyNumberFormat="1" applyFont="1" applyFill="1" applyBorder="1" applyAlignment="1">
      <x:alignment vertical="top"/>
    </x:xf>
    <x:xf numFmtId="202" fontId="13" fillId="0" borderId="10" xfId="0" applyNumberFormat="1" applyFont="1" applyFill="1" applyBorder="1" applyAlignment="1">
      <x:alignment vertical="top" wrapText="1"/>
    </x:xf>
    <x:xf numFmtId="202" fontId="13" fillId="0" borderId="11" xfId="0" applyNumberFormat="1" applyFont="1" applyFill="1" applyBorder="1" applyAlignment="1">
      <x:alignment vertical="top" wrapText="1"/>
    </x:xf>
    <x:xf numFmtId="202" fontId="13" fillId="0" borderId="12" xfId="0" applyNumberFormat="1" applyFont="1" applyFill="1" applyBorder="1" applyAlignment="1">
      <x:alignment vertical="top" wrapText="1"/>
    </x:xf>
    <x:xf numFmtId="0" fontId="15" fillId="0" borderId="10" xfId="0" applyNumberFormat="1" applyFont="1" applyFill="1" applyBorder="1" applyAlignment="1">
      <x:alignment vertical="top"/>
    </x:xf>
    <x:xf numFmtId="0" fontId="15" fillId="0" borderId="11" xfId="0" applyNumberFormat="1" applyFont="1" applyFill="1" applyBorder="1" applyAlignment="1">
      <x:alignment vertical="top"/>
    </x:xf>
    <x:xf numFmtId="0" fontId="15" fillId="0" borderId="12" xfId="0" applyNumberFormat="1" applyFont="1" applyFill="1" applyBorder="1" applyAlignment="1">
      <x:alignment vertical="top"/>
    </x:xf>
  </x:cellXfs>
  <x:cellStyles count="1">
    <x:cellStyle name="Normal" xfId="0"/>
  </x:cellStyles>
  <x:dxfs count="2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68423d12974ad6" /><Relationship Type="http://schemas.openxmlformats.org/officeDocument/2006/relationships/theme" Target="/xl/theme/theme1.xml" Id="Rbca8771c80644382" /><Relationship Type="http://schemas.openxmlformats.org/officeDocument/2006/relationships/sharedStrings" Target="/xl/sharedStrings.xml" Id="Rdd55647127814ade" /><Relationship Type="http://schemas.openxmlformats.org/officeDocument/2006/relationships/worksheet" Target="/xl/worksheets/sheet1.xml" Id="R23ddf1f55db84b94" /><Relationship Type="http://schemas.openxmlformats.org/officeDocument/2006/relationships/worksheet" Target="/xl/worksheets/sheet2.xml" Id="R8f5ba364c976483b" /><Relationship Type="http://schemas.openxmlformats.org/officeDocument/2006/relationships/worksheet" Target="/xl/worksheets/sheet3.xml" Id="R8830768fc70c4c33" /><Relationship Type="http://schemas.openxmlformats.org/officeDocument/2006/relationships/worksheet" Target="/xl/worksheets/sheet4.xml" Id="R90837e6b714e45fe" /><Relationship Type="http://schemas.openxmlformats.org/officeDocument/2006/relationships/worksheet" Target="/xl/worksheets/sheet5.xml" Id="R23fd38c0441b4aac" /><Relationship Type="http://schemas.openxmlformats.org/officeDocument/2006/relationships/worksheet" Target="/xl/worksheets/sheet6.xml" Id="R99a91dcb9bcc4ba5" /><Relationship Type="http://schemas.openxmlformats.org/officeDocument/2006/relationships/worksheet" Target="/xl/worksheets/sheet7.xml" Id="R3b67a8423db84792" /><Relationship Type="http://schemas.openxmlformats.org/officeDocument/2006/relationships/worksheet" Target="/xl/worksheets/sheet8.xml" Id="R80a0b3f9e9d448ba" /><Relationship Type="http://schemas.openxmlformats.org/officeDocument/2006/relationships/worksheet" Target="/xl/worksheets/sheet9.xml" Id="Rd5efa7a57f6d486d" /><Relationship Type="http://schemas.openxmlformats.org/officeDocument/2006/relationships/worksheet" Target="/xl/worksheets/sheet10.xml" Id="R103e1959caff4391" /><Relationship Type="http://schemas.openxmlformats.org/officeDocument/2006/relationships/worksheet" Target="/xl/worksheets/sheet11.xml" Id="Rb36f743e0712454e" /><Relationship Type="http://schemas.microsoft.com/office/2017/10/relationships/person" Target="/xl/persons/person.xml" Id="Rd3509fd363b343bb" /></Relationships>
</file>

<file path=xl/persons/person.xml><?xml version="1.0" encoding="utf-8"?>
<xltc:personList xmlns:xltc="http://schemas.microsoft.com/office/spreadsheetml/2018/threadedcomments">
  <xltc:person displayName="User" id="{9E9ADF60-1A4A-4FD7-B30A-25DB6DED226B}"/>
</xltc:personList>
</file>

<file path=xl/tables/table1.xml><?xml version="1.0" encoding="utf-8"?>
<x:table xmlns:x="http://schemas.openxmlformats.org/spreadsheetml/2006/main" id="1" name="WeaponsTable" displayName="WeaponsTable" ref="A5:O18" headerRowCount="1" totalsRowCount="0" totalsRowShown="0">
  <x:autoFilter ref="A5:O18"/>
  <x:tableColumns count="15">
    <x:tableColumn id="1" name="ID"/>
    <x:tableColumn id="2" name="Arme"/>
    <x:tableColumn id="3" name="Nom interne"/>
    <x:tableColumn id="4" name="Entrée inventaire"/>
    <x:tableColumn id="5" name="Catégorie"/>
    <x:tableColumn id="6" name="Rang acquisition"/>
    <x:tableColumn id="7" name="Coût initial"/>
    <x:tableColumn id="8" name="Possession dump"/>
    <x:tableColumn id="9" name="Niveau dump"/>
    <x:tableColumn id="10" name="Munitions dump"/>
    <x:tableColumn id="11" name="XP dump"/>
    <x:tableColumn id="12" name="Niveaux"/>
    <x:tableColumn id="13" name="Courbes mappées"/>
    <x:tableColumn id="14" name="Confiance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aponLevelsTable" displayName="WeaponLevelsTable" ref="A5:N105" headerRowCount="1" totalsRowCount="0" totalsRowShown="0">
  <x:autoFilter ref="A5:N105"/>
  <x:tableColumns count="14">
    <x:tableColumn id="1" name="Arme"/>
    <x:tableColumn id="2" name="Interne"/>
    <x:tableColumn id="3" name="Niveau"/>
    <x:tableColumn id="4" name="Record runtime"/>
    <x:tableColumn id="5" name="Transition"/>
    <x:tableColumn id="6" name="Type de coût"/>
    <x:tableColumn id="7" name="Coût achat/Titan"/>
    <x:tableColumn id="8" name="Seuil XP"/>
    <x:tableColumn id="9" name="Coût unité munition"/>
    <x:tableColumn id="10" name="Munitions max"/>
    <x:tableColumn id="11" name="Quantité pack"/>
    <x:tableColumn id="12" name="Enum +0x24"/>
    <x:tableColumn id="13" name="IDs +0x28/+0x2C/+0x30"/>
    <x:tableColumn id="14" name="Confi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aponDamageMapTable" displayName="WeaponDamageMapTable" ref="A5:N220" headerRowCount="1" totalsRowCount="0" totalsRowShown="0">
  <x:autoFilter ref="A5:N220"/>
  <x:tableColumns count="14">
    <x:tableColumn id="1" name="Arme"/>
    <x:tableColumn id="2" name="Voie / attaque"/>
    <x:tableColumn id="3" name="Niveau"/>
    <x:tableColumn id="4" name="Index table"/>
    <x:tableColumn id="5" name="Adresse runtime"/>
    <x:tableColumn id="6" name="Type"/>
    <x:tableColumn id="7" name="Dégâts bruts"/>
    <x:tableColumn id="8" name="Dégâts effectifs"/>
    <x:tableColumn id="9" name="Effet"/>
    <x:tableColumn id="10" name="Flags"/>
    <x:tableColumn id="11" name="Callsite / preuve"/>
    <x:tableColumn id="12" name="Attribution"/>
    <x:tableColumn id="13" name="Confiance"/>
    <x:tableColumn id="1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eaponTimingSummaryTable" displayName="WeaponTimingSummaryTable" ref="A5:H18" headerRowCount="1" totalsRowCount="0" totalsRowShown="0">
  <x:autoFilter ref="A5:H18"/>
  <x:tableColumns count="8">
    <x:tableColumn id="1" name="Arme"/>
    <x:tableColumn id="2" name="Fonctions principales"/>
    <x:tableColumn id="3" name="Mécanique"/>
    <x:tableColumn id="4" name="Vanilla 30 FPS"/>
    <x:tableColumn id="5" name="60 FPS socle sans fix"/>
    <x:tableColumn id="6" name="Attendu avec patch"/>
    <x:tableColumn id="7" name="Statut"/>
    <x:tableColumn id="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eaponTimingPatchesTable" displayName="WeaponTimingPatchesTable" ref="A22:L103" headerRowCount="1" totalsRowCount="0" totalsRowShown="0">
  <x:autoFilter ref="A22:L103"/>
  <x:tableColumns count="12">
    <x:tableColumn id="1" name="Arme"/>
    <x:tableColumn id="2" name="Résumé"/>
    <x:tableColumn id="3" name="Adresse"/>
    <x:tableColumn id="4" name="Relatif PRX"/>
    <x:tableColumn id="5" name="Opcode vanilla"/>
    <x:tableColumn id="6" name="Opcode patché"/>
    <x:tableColumn id="7" name="Instruction / valeur"/>
    <x:tableColumn id="8" name="Raison"/>
    <x:tableColumn id="9" name="Type"/>
    <x:tableColumn id="10" name="Optionnel"/>
    <x:tableColumn id="11" name="Statut manifeste"/>
    <x:tableColumn id="12" name="CWChe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eaponModsTable" displayName="WeaponModsTable" ref="A5:K28" headerRowCount="1" totalsRowCount="0" totalsRowShown="0">
  <x:autoFilter ref="A5:K28"/>
  <x:tableColumns count="11">
    <x:tableColumn id="1" name="Arme"/>
    <x:tableColumn id="2" name="Slot"/>
    <x:tableColumn id="3" name="Record runtime"/>
    <x:tableColumn id="4" name="ID interne"/>
    <x:tableColumn id="5" name="Effet / condition"/>
    <x:tableColumn id="6" name="ID texte nom"/>
    <x:tableColumn id="7" name="ID description"/>
    <x:tableColumn id="8" name="Icône"/>
    <x:tableColumn id="9" name="Couleur"/>
    <x:tableColumn id="10" name="Prix"/>
    <x:tableColumn id="11" name="Confia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kitaruEnemiesTable" displayName="PokitaruEnemiesTable" ref="A5:Q25" headerRowCount="1" totalsRowCount="0" totalsRowShown="0">
  <x:autoFilter ref="A5:Q25"/>
  <x:tableColumns count="17">
    <x:tableColumn id="1" name="Classe"/>
    <x:tableColumn id="2" name="Catégorie"/>
    <x:tableColumn id="3" name="Descripteur"/>
    <x:tableColumn id="4" name="Init"/>
    <x:tableColumn id="5" name="Destroy"/>
    <x:tableColumn id="6" name="Update"/>
    <x:tableColumn id="7" name="Event"/>
    <x:tableColumn id="8" name="Schéma PVar"/>
    <x:tableColumn id="9" name="Taille PVar"/>
    <x:tableColumn id="10" name="Privé"/>
    <x:tableColumn id="11" name="Coeff. boulons"/>
    <x:tableColumn id="12" name="Coeff. XP"/>
    <x:tableColumn id="13" name="Flag +0x3C"/>
    <x:tableColumn id="14" name="Schéma / champs"/>
    <x:tableColumn id="15" name="Données résolues"/>
    <x:tableColumn id="16" name="Limites"/>
    <x:tableColumn id="17" name="Confia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nemyRewardsTable" displayName="EnemyRewardsTable" ref="A5:M49" headerRowCount="1" totalsRowCount="0" totalsRowShown="0">
  <x:autoFilter ref="A5:M49"/>
  <x:tableColumns count="13">
    <x:tableColumn id="1" name="Ennemi"/>
    <x:tableColumn id="2" name="Index progression"/>
    <x:tableColumn id="3" name="Coeff. boulons"/>
    <x:tableColumn id="4" name="Coeff. XP"/>
    <x:tableColumn id="5" name="XP base normal"/>
    <x:tableColumn id="6" name="XP base alternatif"/>
    <x:tableColumn id="7" name="XP brute normale"/>
    <x:tableColumn id="8" name="XP brute alternative"/>
    <x:tableColumn id="9" name="Budget boulons base"/>
    <x:tableColumn id="10" name="Budget boulons brut"/>
    <x:tableColumn id="11" name="Ajustements runtime"/>
    <x:tableColumn id="12" name="Preuve"/>
    <x:tableColumn id="13" name="Confia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nemyTimingsTable" displayName="EnemyTimingsTable" ref="A5:L18" headerRowCount="1" totalsRowCount="0" totalsRowShown="0">
  <x:autoFilter ref="A5:L18"/>
  <x:tableColumns count="12">
    <x:tableColumn id="1" name="Classe"/>
    <x:tableColumn id="2" name="Mécanique"/>
    <x:tableColumn id="3" name="Adresse(s)"/>
    <x:tableColumn id="4" name="Type"/>
    <x:tableColumn id="5" name="Vanilla"/>
    <x:tableColumn id="6" name="Unité / temps 30 FPS"/>
    <x:tableColumn id="7" name="60 FPS socle sans fix"/>
    <x:tableColumn id="8" name="Valeur patch"/>
    <x:tableColumn id="9" name="Résultat attendu"/>
    <x:tableColumn id="10" name="Statut"/>
    <x:tableColumn id="11" name="Confiance"/>
    <x:tableColumn id="12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awDamageTable" displayName="RawDamageTable" ref="A5:N264" headerRowCount="1" totalsRowCount="0" totalsRowShown="0">
  <x:autoFilter ref="A5:N264"/>
  <x:tableColumns count="14">
    <x:tableColumn id="1" name="Index"/>
    <x:tableColumn id="2" name="Type"/>
    <x:tableColumn id="3" name="Dégâts bruts"/>
    <x:tableColumn id="4" name="Dégâts effectifs"/>
    <x:tableColumn id="5" name="Effet"/>
    <x:tableColumn id="6" name="Flags"/>
    <x:tableColumn id="7" name="Adresse runtime"/>
    <x:tableColumn id="8" name="Hex type"/>
    <x:tableColumn id="9" name="Hex dégâts"/>
    <x:tableColumn id="10" name="Hex effet"/>
    <x:tableColumn id="11" name="Hex flags"/>
    <x:tableColumn id="12" name="Attribution(s)"/>
    <x:tableColumn id="13" name="Confiance attribution"/>
    <x:tableColumn id="14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ba1dc9cbb740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6c77d8e3a44a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f4f3bb93774a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71952b76584467" /><Relationship Type="http://schemas.openxmlformats.org/officeDocument/2006/relationships/table" Target="/xl/tables/table5.xml" Id="Rd2fd961aeb1848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482efeae7c743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f3fa2b512f445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8d92046a6f646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42da9d26d8e4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9585a9d212f41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Pokitaru — données armes et ennemis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Ratchet &amp; Clank: Size Matters [EU UCES-00420] · extraction statique Pokitaru uniquement · adresses runtime PSP</x:v>
      </x:c>
      <x:c r="B2" s="7"/>
      <x:c r="C2" s="7"/>
      <x:c r="D2" s="7"/>
      <x:c r="E2" s="7"/>
      <x:c r="F2" s="7"/>
      <x:c r="G2" s="7"/>
      <x:c r="H2" s="7"/>
    </x:row>
    <x:row r="4">
      <x:c r="A4" s="9" t="str">
        <x:v>Couverture du classeur</x:v>
      </x:c>
      <x:c r="B4" s="9"/>
      <x:c r="C4" s="9"/>
      <x:c r="D4" s="9"/>
      <x:c r="E4" s="9"/>
      <x:c r="F4" s="9"/>
      <x:c r="G4" s="9"/>
      <x:c r="H4" s="9"/>
    </x:row>
    <x:row r="5">
      <x:c r="A5" s="15" t="str">
        <x:v>Armes inventoriées</x:v>
      </x:c>
      <x:c r="B5" s="16" t="n">
        <x:f>COUNTA('Armes'!$A$6:$A$18)</x:f>
        <x:v>13</x:v>
      </x:c>
      <x:c r="D5" s="22" t="str">
        <x:v>Résultats les plus solides</x:v>
      </x:c>
      <x:c r="E5" s="22"/>
      <x:c r="F5" s="22"/>
      <x:c r="G5" s="22"/>
      <x:c r="H5" s="22"/>
    </x:row>
    <x:row r="6" ht="34" customHeight="1">
      <x:c r="A6" s="17" t="str">
        <x:v>Records de niveaux</x:v>
      </x:c>
      <x:c r="B6" s="18" t="n">
        <x:f>COUNTA('Niveaux armes'!$A$6:$A$105)</x:f>
        <x:v>100</x:v>
      </x:c>
      <x:c r="D6" s="26" t="str">
        <x:v>• Économie complète des 13 armes : prix initial, achat Titan, XP, munitions et capacité par niveau.</x:v>
      </x:c>
      <x:c r="E6" s="26"/>
      <x:c r="F6" s="26"/>
      <x:c r="G6" s="26"/>
      <x:c r="H6" s="26"/>
    </x:row>
    <x:row r="7" ht="34" customHeight="1">
      <x:c r="A7" s="17" t="str">
        <x:v>Mods</x:v>
      </x:c>
      <x:c r="B7" s="18" t="n">
        <x:f>COUNTA('Mods'!$A$6:$A$28)</x:f>
        <x:v>23</x:v>
      </x:c>
      <x:c r="D7" s="26" t="str">
        <x:v>• 23 mods avec prix, identifiants de texte, icône et adresse du record.</x:v>
      </x:c>
      <x:c r="E7" s="26"/>
      <x:c r="F7" s="26"/>
      <x:c r="G7" s="26"/>
      <x:c r="H7" s="26"/>
    </x:row>
    <x:row r="8" ht="34" customHeight="1">
      <x:c r="A8" s="17" t="str">
        <x:v>Entrées de dégâts brutes</x:v>
      </x:c>
      <x:c r="B8" s="18" t="n">
        <x:f>COUNTA('Table dégâts brute'!$A$6:$A$264)</x:f>
        <x:v>259</x:v>
      </x:c>
      <x:c r="D8" s="26" t="str">
        <x:v>• Table centrale de 259 entrées de dégâts, avec dégâts effectifs calculés quand type = 2.</x:v>
      </x:c>
      <x:c r="E8" s="26"/>
      <x:c r="F8" s="26"/>
      <x:c r="G8" s="26"/>
      <x:c r="H8" s="26"/>
    </x:row>
    <x:row r="9" ht="34" customHeight="1">
      <x:c r="A9" s="17" t="str">
        <x:v>Classes ennemies/support</x:v>
      </x:c>
      <x:c r="B9" s="18" t="n">
        <x:f>COUNTA('Ennemis'!$A$6:$A$25)</x:f>
        <x:v>20</x:v>
      </x:c>
      <x:c r="D9" s="26" t="str">
        <x:v>• Courbes de dégâts attribuées aux armes avec callsite et confiance; les lignes non résolues restent visibles dans la table brute.</x:v>
      </x:c>
      <x:c r="E9" s="26"/>
      <x:c r="F9" s="26"/>
      <x:c r="G9" s="26"/>
      <x:c r="H9" s="26"/>
    </x:row>
    <x:row r="10" ht="34" customHeight="1">
      <x:c r="A10" s="19" t="str">
        <x:v>Ennemis avec coefficients récompense/XP</x:v>
      </x:c>
      <x:c r="B10" s="20" t="n">
        <x:f>COUNTA('Récompenses ennemis'!$A$6:$A$49)/11</x:f>
        <x:v>4</x:v>
      </x:c>
      <x:c r="D10" s="26" t="str">
        <x:v>• Pour les ennemis, le premier tableau du descripteur est une échelle de récompense en boulons, pas une table de vie; le second est l’échelle d’XP.</x:v>
      </x:c>
      <x:c r="E10" s="26"/>
      <x:c r="F10" s="26"/>
      <x:c r="G10" s="26"/>
      <x:c r="H10" s="26"/>
    </x:row>
    <x:row r="13">
      <x:c r="A13" s="9" t="str">
        <x:v>Lecture des niveaux de confiance</x:v>
      </x:c>
      <x:c r="B13" s="9"/>
      <x:c r="C13" s="9"/>
      <x:c r="D13" s="9"/>
      <x:c r="E13" s="9"/>
      <x:c r="F13" s="9"/>
      <x:c r="G13" s="9"/>
      <x:c r="H13" s="9"/>
    </x:row>
    <x:row r="14">
      <x:c r="A14" s="28" t="str">
        <x:v>Élevée</x:v>
      </x:c>
      <x:c r="B14" s="34" t="str">
        <x:v>Valeur et consommateur recoupés dans le PRX/RAM; indexation ou formule confirmée.</x:v>
      </x:c>
      <x:c r="C14" s="34"/>
      <x:c r="D14" s="34"/>
      <x:c r="E14" s="34"/>
      <x:c r="F14" s="34"/>
      <x:c r="G14" s="34"/>
      <x:c r="H14" s="34"/>
    </x:row>
    <x:row r="15">
      <x:c r="A15" s="30" t="str">
        <x:v>Moyenne</x:v>
      </x:c>
      <x:c r="B15" s="34" t="str">
        <x:v>Attribution structurellement solide, mais sous-rôle exact ou résultat en jeu encore à valider.</x:v>
      </x:c>
      <x:c r="C15" s="34"/>
      <x:c r="D15" s="34"/>
      <x:c r="E15" s="34"/>
      <x:c r="F15" s="34"/>
      <x:c r="G15" s="34"/>
      <x:c r="H15" s="34"/>
    </x:row>
    <x:row r="16">
      <x:c r="A16" s="32" t="str">
        <x:v>Faible / non résolu</x:v>
      </x:c>
      <x:c r="B16" s="34" t="str">
        <x:v>Champ conservé comme donnée brute sans lui donner un nom fonctionnel spéculatif.</x:v>
      </x:c>
      <x:c r="C16" s="34"/>
      <x:c r="D16" s="34"/>
      <x:c r="E16" s="34"/>
      <x:c r="F16" s="34"/>
      <x:c r="G16" s="34"/>
      <x:c r="H16" s="34"/>
    </x:row>
    <x:row r="19">
      <x:c r="A19" s="35" t="str">
        <x:v>Limites importantes</x:v>
      </x:c>
      <x:c r="B19" s="35"/>
      <x:c r="C19" s="35"/>
      <x:c r="D19" s="35"/>
      <x:c r="E19" s="35"/>
      <x:c r="F19" s="35"/>
      <x:c r="G19" s="35"/>
      <x:c r="H19" s="35"/>
    </x:row>
    <x:row r="20" ht="32" customHeight="1">
      <x:c r="A20" s="39" t="str">
        <x:v>• Aucun champ de dégâts des records de niveau d’arme : +0x24 est un enum/catégorie. Les dégâts viennent de la table centrale et de ses indexations.</x:v>
      </x:c>
      <x:c r="B20" s="39"/>
      <x:c r="C20" s="39"/>
      <x:c r="D20" s="39"/>
      <x:c r="E20" s="39"/>
      <x:c r="F20" s="39"/>
      <x:c r="G20" s="39"/>
      <x:c r="H20" s="39"/>
    </x:row>
    <x:row r="21" ht="32" customHeight="1">
      <x:c r="A21" s="39" t="str">
        <x:v>• L’XP d’une arme n’est pas un montant fixe par tir : elle vient de la cible, puis passe par la formule de rattrapage/plafond de l’arme.</x:v>
      </x:c>
      <x:c r="B21" s="39"/>
      <x:c r="C21" s="39"/>
      <x:c r="D21" s="39"/>
      <x:c r="E21" s="39"/>
      <x:c r="F21" s="39"/>
      <x:c r="G21" s="39"/>
      <x:c r="H21" s="39"/>
    </x:row>
    <x:row r="22" ht="32" customHeight="1">
      <x:c r="A22" s="39" t="str">
        <x:v>• Les points de vie exacts des ennemis principaux ne sont pas exposés dans les deux tableaux de descripteur étudiés. Ils ne sont donc pas inventés ici.</x:v>
      </x:c>
      <x:c r="B22" s="39"/>
      <x:c r="C22" s="39"/>
      <x:c r="D22" s="39"/>
      <x:c r="E22" s="39"/>
      <x:c r="F22" s="39"/>
      <x:c r="G22" s="39"/>
      <x:c r="H22" s="39"/>
    </x:row>
    <x:row r="23" ht="32" customHeight="1">
      <x:c r="A23" s="39" t="str">
        <x:v>• La récompense et l’XP finales d’un ennemi subissent des diviseurs/facteurs contextuels à l’exécution; les produits bruts sont calculés séparément.</x:v>
      </x:c>
      <x:c r="B23" s="39"/>
      <x:c r="C23" s="39"/>
      <x:c r="D23" s="39"/>
      <x:c r="E23" s="39"/>
      <x:c r="F23" s="39"/>
      <x:c r="G23" s="39"/>
      <x:c r="H23" s="39"/>
    </x:row>
    <x:row r="24" ht="32" customHeight="1">
      <x:c r="A24" s="39" t="str">
        <x:v>• Le champ damage de Fire est configuré par instance dans le WAD; la valeur exacte de chaque placement exige encore le décodage des instances.</x:v>
      </x:c>
      <x:c r="B24" s="39"/>
      <x:c r="C24" s="39"/>
      <x:c r="D24" s="39"/>
      <x:c r="E24" s="39"/>
      <x:c r="F24" s="39"/>
      <x:c r="G24" s="39"/>
      <x:c r="H24" s="39"/>
    </x:row>
    <x:row r="25" ht="32" customHeight="1">
      <x:c r="A25" s="39" t="str">
        <x:v>• Les résultats à 60 FPS restent des prédictions statiques tant qu’une mesure 30/60 reproductible n’est pas indiquée VALIDÉE.</x:v>
      </x:c>
      <x:c r="B25" s="39"/>
      <x:c r="C25" s="39"/>
      <x:c r="D25" s="39"/>
      <x:c r="E25" s="39"/>
      <x:c r="F25" s="39"/>
      <x:c r="G25" s="39"/>
      <x:c r="H25" s="39"/>
    </x:row>
    <x:row r="28">
      <x:c r="A28" s="9" t="str">
        <x:v>Périmètre binaire</x:v>
      </x:c>
      <x:c r="B28" s="9"/>
      <x:c r="C28" s="9"/>
      <x:c r="D28" s="9"/>
      <x:c r="E28" s="9"/>
      <x:c r="F28" s="9"/>
      <x:c r="G28" s="9"/>
      <x:c r="H28" s="9"/>
    </x:row>
    <x:row r="29">
      <x:c r="A29" s="11" t="str">
        <x:v>Jeu</x:v>
      </x:c>
      <x:c r="B29" s="34" t="str">
        <x:v>Ratchet &amp; Clank: Size Matters [EU UCES-00420]</x:v>
      </x:c>
      <x:c r="C29" s="34"/>
      <x:c r="D29" s="34"/>
      <x:c r="E29" s="34"/>
      <x:c r="F29" s="34"/>
      <x:c r="G29" s="34"/>
      <x:c r="H29" s="34"/>
    </x:row>
    <x:row r="30">
      <x:c r="A30" s="11" t="str">
        <x:v>Niveau</x:v>
      </x:c>
      <x:c r="B30" s="34" t="str">
        <x:v>Pokitaru / LEVEL_01</x:v>
      </x:c>
      <x:c r="C30" s="34"/>
      <x:c r="D30" s="34"/>
      <x:c r="E30" s="34"/>
      <x:c r="F30" s="34"/>
      <x:c r="G30" s="34"/>
      <x:c r="H30" s="34"/>
    </x:row>
    <x:row r="31">
      <x:c r="A31" s="11" t="str">
        <x:v>Base module</x:v>
      </x:c>
      <x:c r="B31" s="34" t="str">
        <x:v>09139D00h</x:v>
      </x:c>
      <x:c r="C31" s="34"/>
      <x:c r="D31" s="34"/>
      <x:c r="E31" s="34"/>
      <x:c r="F31" s="34"/>
      <x:c r="G31" s="34"/>
      <x:c r="H31" s="34"/>
    </x:row>
    <x:row r="32">
      <x:c r="A32" s="11" t="str">
        <x:v>Conversion PRX</x:v>
      </x:c>
      <x:c r="B32" s="34" t="str">
        <x:v>offset = runtime − 0x09139D00 + 0x74</x:v>
      </x:c>
      <x:c r="C32" s="34"/>
      <x:c r="D32" s="34"/>
      <x:c r="E32" s="34"/>
      <x:c r="F32" s="34"/>
      <x:c r="G32" s="34"/>
      <x:c r="H32" s="34"/>
    </x:row>
    <x:row r="33">
      <x:c r="A33" s="11" t="str">
        <x:v>Table dégâts</x:v>
      </x:c>
      <x:c r="B33" s="34" t="str">
        <x:v>0x09404DCC · 259 records × 0x10</x:v>
      </x:c>
      <x:c r="C33" s="34"/>
      <x:c r="D33" s="34"/>
      <x:c r="E33" s="34"/>
      <x:c r="F33" s="34"/>
      <x:c r="G33" s="34"/>
      <x:c r="H33" s="34"/>
    </x:row>
    <x:row r="34">
      <x:c r="A34" s="11" t="str">
        <x:v>État du dump</x:v>
      </x:c>
      <x:c r="B34" s="34" t="str">
        <x:v>Dump Pokitaru actif; tables d’économie et de dégâts traitées comme données statiques.</x:v>
      </x:c>
      <x:c r="C34" s="34"/>
      <x:c r="D34" s="34"/>
      <x:c r="E34" s="34"/>
      <x:c r="F34" s="34"/>
      <x:c r="G34" s="34"/>
      <x:c r="H34" s="34"/>
    </x:row>
  </x:sheetData>
  <x:mergeCells>
    <x:mergeCell ref="A1:H1"/>
    <x:mergeCell ref="A2:H2"/>
    <x:mergeCell ref="A4:H4"/>
    <x:mergeCell ref="D5:H5"/>
    <x:mergeCell ref="D6:H6"/>
    <x:mergeCell ref="D7:H7"/>
    <x:mergeCell ref="D8:H8"/>
    <x:mergeCell ref="D9:H9"/>
    <x:mergeCell ref="D10:H10"/>
    <x:mergeCell ref="A13:H13"/>
    <x:mergeCell ref="B14:H14"/>
    <x:mergeCell ref="B15:H15"/>
    <x:mergeCell ref="B16:H16"/>
    <x:mergeCell ref="A19:H19"/>
    <x:mergeCell ref="A20:H20"/>
    <x:mergeCell ref="A21:H21"/>
    <x:mergeCell ref="A22:H22"/>
    <x:mergeCell ref="A23:H23"/>
    <x:mergeCell ref="A24:H24"/>
    <x:mergeCell ref="A25:H25"/>
    <x:mergeCell ref="A28:H28"/>
    <x:mergeCell ref="B29:H29"/>
    <x:mergeCell ref="B30:H30"/>
    <x:mergeCell ref="B31:H31"/>
    <x:mergeCell ref="B32:H32"/>
    <x:mergeCell ref="B33:H33"/>
    <x:mergeCell ref="B34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3" hidden="0" customWidth="1"/>
    <x:col min="3" max="3" width="18" hidden="0" customWidth="1"/>
    <x:col min="4" max="4" width="17" hidden="0" customWidth="1"/>
    <x:col min="5" max="5" width="10" hidden="0" customWidth="1"/>
    <x:col min="6" max="6" width="14" hidden="0" customWidth="1"/>
    <x:col min="7" max="7" width="15" hidden="0" customWidth="1"/>
    <x:col min="8" max="8" width="13" hidden="0" customWidth="1"/>
    <x:col min="9" max="9" width="12" hidden="0" customWidth="1"/>
    <x:col min="10" max="10" width="14" hidden="0" customWidth="1"/>
    <x:col min="11" max="11" width="13" hidden="0" customWidth="1"/>
    <x:col min="12" max="12" width="10" hidden="0" customWidth="1"/>
    <x:col min="13" max="13" width="14" hidden="0" customWidth="1"/>
    <x:col min="14" max="14" width="12" hidden="0" customWidth="1"/>
    <x:col min="15" max="15" width="34" hidden="0" customWidth="1"/>
  </x:cols>
  <x:sheetData>
    <x:row r="1" ht="32" customHeight="1">
      <x:c r="A1" s="3" t="str">
        <x:v>Inventaire des armes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Entrées runtime et état du RAM2.dump; les coûts viennent des records V1/V4.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5" ht="30" customHeight="1">
      <x:c r="A5" s="47" t="str">
        <x:v>ID</x:v>
      </x:c>
      <x:c r="B5" s="48" t="str">
        <x:v>Arme</x:v>
      </x:c>
      <x:c r="C5" s="48" t="str">
        <x:v>Nom interne</x:v>
      </x:c>
      <x:c r="D5" s="48" t="str">
        <x:v>Entrée inventaire</x:v>
      </x:c>
      <x:c r="E5" s="48" t="str">
        <x:v>Catégorie</x:v>
      </x:c>
      <x:c r="F5" s="48" t="str">
        <x:v>Rang acquisition</x:v>
      </x:c>
      <x:c r="G5" s="48" t="str">
        <x:v>Coût initial</x:v>
      </x:c>
      <x:c r="H5" s="48" t="str">
        <x:v>Possession dump</x:v>
      </x:c>
      <x:c r="I5" s="48" t="str">
        <x:v>Niveau dump</x:v>
      </x:c>
      <x:c r="J5" s="48" t="str">
        <x:v>Munitions dump</x:v>
      </x:c>
      <x:c r="K5" s="48" t="str">
        <x:v>XP dump</x:v>
      </x:c>
      <x:c r="L5" s="48" t="str">
        <x:v>Niveaux</x:v>
      </x:c>
      <x:c r="M5" s="48" t="str">
        <x:v>Courbes mappées</x:v>
      </x:c>
      <x:c r="N5" s="48" t="str">
        <x:v>Confiance</x:v>
      </x:c>
      <x:c r="O5" s="49" t="str">
        <x:v>Notes</x:v>
      </x:c>
    </x:row>
    <x:row r="6">
      <x:c r="A6" s="54" t="n">
        <x:v>1</x:v>
      </x:c>
      <x:c r="B6" s="54" t="str">
        <x:v>Lacérator</x:v>
      </x:c>
      <x:c r="C6" s="54" t="str">
        <x:v>blaster</x:v>
      </x:c>
      <x:c r="D6" s="54" t="str">
        <x:v>093E870Ch</x:v>
      </x:c>
      <x:c r="E6" s="54" t="n">
        <x:v>2</x:v>
      </x:c>
      <x:c r="F6" s="54" t="n">
        <x:v>1</x:v>
      </x:c>
      <x:c r="G6" s="57" t="n">
        <x:v>0</x:v>
      </x:c>
      <x:c r="H6" s="57" t="n">
        <x:v>1</x:v>
      </x:c>
      <x:c r="I6" s="57" t="n">
        <x:v>1</x:v>
      </x:c>
      <x:c r="J6" s="57" t="n">
        <x:v>60</x:v>
      </x:c>
      <x:c r="K6" s="57" t="n">
        <x:v>0</x:v>
      </x:c>
      <x:c r="L6" s="57" t="n">
        <x:v>8</x:v>
      </x:c>
      <x:c r="M6" s="57" t="n">
        <x:f>COUNTIF('Dégâts armes'!$A$6:$A$220,B6)</x:f>
        <x:v>8</x:v>
      </x:c>
      <x:c r="N6" s="54" t="str">
        <x:v>Élevée</x:v>
      </x:c>
      <x:c r="O6" s="60" t="str">
        <x:v>Arme de départ, donnée ou gratuite dans cette table.</x:v>
      </x:c>
    </x:row>
    <x:row r="7">
      <x:c r="A7" s="55" t="n">
        <x:v>2</x:v>
      </x:c>
      <x:c r="B7" s="55" t="str">
        <x:v>Tremblator</x:v>
      </x:c>
      <x:c r="C7" s="55" t="str">
        <x:v>blitzgun</x:v>
      </x:c>
      <x:c r="D7" s="55" t="str">
        <x:v>093E8764h</x:v>
      </x:c>
      <x:c r="E7" s="55" t="n">
        <x:v>2</x:v>
      </x:c>
      <x:c r="F7" s="55" t="n">
        <x:v>2</x:v>
      </x:c>
      <x:c r="G7" s="58" t="n">
        <x:v>10000</x:v>
      </x:c>
      <x:c r="H7" s="58" t="n">
        <x:v>0</x:v>
      </x:c>
      <x:c r="I7" s="58" t="n">
        <x:v>1</x:v>
      </x:c>
      <x:c r="J7" s="58" t="n">
        <x:v>25</x:v>
      </x:c>
      <x:c r="K7" s="58" t="n">
        <x:v>0</x:v>
      </x:c>
      <x:c r="L7" s="58" t="n">
        <x:v>8</x:v>
      </x:c>
      <x:c r="M7" s="58" t="n">
        <x:f>COUNTIF('Dégâts armes'!$A$6:$A$220,B7)</x:f>
        <x:v>10</x:v>
      </x:c>
      <x:c r="N7" s="55" t="str">
        <x:v>Élevée</x:v>
      </x:c>
      <x:c r="O7" s="61" t="str">
        <x:v>Prix initial en boulons.</x:v>
      </x:c>
    </x:row>
    <x:row r="8">
      <x:c r="A8" s="55" t="n">
        <x:v>3</x:v>
      </x:c>
      <x:c r="B8" s="55" t="str">
        <x:v>Gant à Bombacide</x:v>
      </x:c>
      <x:c r="C8" s="55" t="str">
        <x:v>bombglove</x:v>
      </x:c>
      <x:c r="D8" s="55" t="str">
        <x:v>093E87BCh</x:v>
      </x:c>
      <x:c r="E8" s="55" t="n">
        <x:v>2</x:v>
      </x:c>
      <x:c r="F8" s="55" t="n">
        <x:v>1</x:v>
      </x:c>
      <x:c r="G8" s="58" t="n">
        <x:v>0</x:v>
      </x:c>
      <x:c r="H8" s="58" t="n">
        <x:v>1</x:v>
      </x:c>
      <x:c r="I8" s="58" t="n">
        <x:v>1</x:v>
      </x:c>
      <x:c r="J8" s="58" t="n">
        <x:v>5</x:v>
      </x:c>
      <x:c r="K8" s="58" t="n">
        <x:v>0</x:v>
      </x:c>
      <x:c r="L8" s="58" t="n">
        <x:v>8</x:v>
      </x:c>
      <x:c r="M8" s="58" t="n">
        <x:f>COUNTIF('Dégâts armes'!$A$6:$A$220,B8)</x:f>
        <x:v>3</x:v>
      </x:c>
      <x:c r="N8" s="55" t="str">
        <x:v>Élevée</x:v>
      </x:c>
      <x:c r="O8" s="61" t="str">
        <x:v>Arme de départ, donnée ou gratuite dans cette table.</x:v>
      </x:c>
    </x:row>
    <x:row r="9">
      <x:c r="A9" s="55" t="n">
        <x:v>4</x:v>
      </x:c>
      <x:c r="B9" s="55" t="str">
        <x:v>Agents Ravageurs</x:v>
      </x:c>
      <x:c r="C9" s="55" t="str">
        <x:v>agentsglove</x:v>
      </x:c>
      <x:c r="D9" s="55" t="str">
        <x:v>093E8814h</x:v>
      </x:c>
      <x:c r="E9" s="55" t="n">
        <x:v>2</x:v>
      </x:c>
      <x:c r="F9" s="55" t="n">
        <x:v>3</x:v>
      </x:c>
      <x:c r="G9" s="58" t="n">
        <x:v>25000</x:v>
      </x:c>
      <x:c r="H9" s="58" t="n">
        <x:v>0</x:v>
      </x:c>
      <x:c r="I9" s="58" t="n">
        <x:v>1</x:v>
      </x:c>
      <x:c r="J9" s="58" t="n">
        <x:v>6</x:v>
      </x:c>
      <x:c r="K9" s="58" t="n">
        <x:v>0</x:v>
      </x:c>
      <x:c r="L9" s="58" t="n">
        <x:v>8</x:v>
      </x:c>
      <x:c r="M9" s="58" t="n">
        <x:f>COUNTIF('Dégâts armes'!$A$6:$A$220,B9)</x:f>
        <x:v>28</x:v>
      </x:c>
      <x:c r="N9" s="55" t="str">
        <x:v>Élevée</x:v>
      </x:c>
      <x:c r="O9" s="61" t="str">
        <x:v>Prix initial en boulons.</x:v>
      </x:c>
    </x:row>
    <x:row r="10">
      <x:c r="A10" s="55" t="n">
        <x:v>5</x:v>
      </x:c>
      <x:c r="B10" s="55" t="str">
        <x:v>Gant Mine Abeille</x:v>
      </x:c>
      <x:c r="C10" s="55" t="str">
        <x:v>beemineglove</x:v>
      </x:c>
      <x:c r="D10" s="55" t="str">
        <x:v>093E886Ch</x:v>
      </x:c>
      <x:c r="E10" s="55" t="n">
        <x:v>2</x:v>
      </x:c>
      <x:c r="F10" s="55" t="n">
        <x:v>6</x:v>
      </x:c>
      <x:c r="G10" s="58" t="n">
        <x:v>50000</x:v>
      </x:c>
      <x:c r="H10" s="58" t="n">
        <x:v>0</x:v>
      </x:c>
      <x:c r="I10" s="58" t="n">
        <x:v>1</x:v>
      </x:c>
      <x:c r="J10" s="58" t="n">
        <x:v>8</x:v>
      </x:c>
      <x:c r="K10" s="58" t="n">
        <x:v>0</x:v>
      </x:c>
      <x:c r="L10" s="58" t="n">
        <x:v>8</x:v>
      </x:c>
      <x:c r="M10" s="58" t="n">
        <x:f>COUNTIF('Dégâts armes'!$A$6:$A$220,B10)</x:f>
        <x:v>24</x:v>
      </x:c>
      <x:c r="N10" s="55" t="str">
        <x:v>Élevée</x:v>
      </x:c>
      <x:c r="O10" s="61" t="str">
        <x:v>Prix initial en boulons.</x:v>
      </x:c>
    </x:row>
    <x:row r="11">
      <x:c r="A11" s="55" t="n">
        <x:v>6</x:v>
      </x:c>
      <x:c r="B11" s="55" t="str">
        <x:v>Barrière Statique</x:v>
      </x:c>
      <x:c r="C11" s="55" t="str">
        <x:v>shieldcharger</x:v>
      </x:c>
      <x:c r="D11" s="55" t="str">
        <x:v>093E88C4h</x:v>
      </x:c>
      <x:c r="E11" s="55" t="n">
        <x:v>2</x:v>
      </x:c>
      <x:c r="F11" s="55" t="n">
        <x:v>20</x:v>
      </x:c>
      <x:c r="G11" s="58" t="n">
        <x:v>65000</x:v>
      </x:c>
      <x:c r="H11" s="58" t="n">
        <x:v>0</x:v>
      </x:c>
      <x:c r="I11" s="58" t="n">
        <x:v>1</x:v>
      </x:c>
      <x:c r="J11" s="58" t="n">
        <x:v>5</x:v>
      </x:c>
      <x:c r="K11" s="58" t="n">
        <x:v>0</x:v>
      </x:c>
      <x:c r="L11" s="58" t="n">
        <x:v>8</x:v>
      </x:c>
      <x:c r="M11" s="58" t="n">
        <x:f>COUNTIF('Dégâts armes'!$A$6:$A$220,B11)</x:f>
        <x:v>16</x:v>
      </x:c>
      <x:c r="N11" s="55" t="str">
        <x:v>Élevée</x:v>
      </x:c>
      <x:c r="O11" s="61" t="str">
        <x:v>Prix initial en boulons.</x:v>
      </x:c>
    </x:row>
    <x:row r="12">
      <x:c r="A12" s="55" t="n">
        <x:v>7</x:v>
      </x:c>
      <x:c r="B12" s="55" t="str">
        <x:v>Roquette Éclair</x:v>
      </x:c>
      <x:c r="C12" s="55" t="str">
        <x:v>shockrocket</x:v>
      </x:c>
      <x:c r="D12" s="55" t="str">
        <x:v>093E891Ch</x:v>
      </x:c>
      <x:c r="E12" s="55" t="n">
        <x:v>2</x:v>
      </x:c>
      <x:c r="F12" s="55" t="n">
        <x:v>8</x:v>
      </x:c>
      <x:c r="G12" s="58" t="n">
        <x:v>55000</x:v>
      </x:c>
      <x:c r="H12" s="58" t="n">
        <x:v>0</x:v>
      </x:c>
      <x:c r="I12" s="58" t="n">
        <x:v>1</x:v>
      </x:c>
      <x:c r="J12" s="58" t="n">
        <x:v>20</x:v>
      </x:c>
      <x:c r="K12" s="58" t="n">
        <x:v>0</x:v>
      </x:c>
      <x:c r="L12" s="58" t="n">
        <x:v>8</x:v>
      </x:c>
      <x:c r="M12" s="58" t="n">
        <x:f>COUNTIF('Dégâts armes'!$A$6:$A$220,B12)</x:f>
        <x:v>24</x:v>
      </x:c>
      <x:c r="N12" s="55" t="str">
        <x:v>Élevée</x:v>
      </x:c>
      <x:c r="O12" s="61" t="str">
        <x:v>Prix initial en boulons.</x:v>
      </x:c>
    </x:row>
    <x:row r="13">
      <x:c r="A13" s="55" t="n">
        <x:v>8</x:v>
      </x:c>
      <x:c r="B13" s="55" t="str">
        <x:v>Mine de Sniper</x:v>
      </x:c>
      <x:c r="C13" s="55" t="str">
        <x:v>crossbowgun</x:v>
      </x:c>
      <x:c r="D13" s="55" t="str">
        <x:v>093E8974h</x:v>
      </x:c>
      <x:c r="E13" s="55" t="n">
        <x:v>2</x:v>
      </x:c>
      <x:c r="F13" s="55" t="n">
        <x:v>7</x:v>
      </x:c>
      <x:c r="G13" s="58" t="n">
        <x:v>50000</x:v>
      </x:c>
      <x:c r="H13" s="58" t="n">
        <x:v>0</x:v>
      </x:c>
      <x:c r="I13" s="58" t="n">
        <x:v>1</x:v>
      </x:c>
      <x:c r="J13" s="58" t="n">
        <x:v>8</x:v>
      </x:c>
      <x:c r="K13" s="58" t="n">
        <x:v>0</x:v>
      </x:c>
      <x:c r="L13" s="58" t="n">
        <x:v>8</x:v>
      </x:c>
      <x:c r="M13" s="58" t="n">
        <x:f>COUNTIF('Dégâts armes'!$A$6:$A$220,B13)</x:f>
        <x:v>24</x:v>
      </x:c>
      <x:c r="N13" s="55" t="str">
        <x:v>Élevée</x:v>
      </x:c>
      <x:c r="O13" s="61" t="str">
        <x:v>Prix initial en boulons.</x:v>
      </x:c>
    </x:row>
    <x:row r="14">
      <x:c r="A14" s="55" t="n">
        <x:v>9</x:v>
      </x:c>
      <x:c r="B14" s="55" t="str">
        <x:v>Incinérator</x:v>
      </x:c>
      <x:c r="C14" s="55" t="str">
        <x:v>flamethrower</x:v>
      </x:c>
      <x:c r="D14" s="55" t="str">
        <x:v>093E89CCh</x:v>
      </x:c>
      <x:c r="E14" s="55" t="n">
        <x:v>2</x:v>
      </x:c>
      <x:c r="F14" s="55" t="n">
        <x:v>3</x:v>
      </x:c>
      <x:c r="G14" s="58" t="n">
        <x:v>20000</x:v>
      </x:c>
      <x:c r="H14" s="58" t="n">
        <x:v>0</x:v>
      </x:c>
      <x:c r="I14" s="58" t="n">
        <x:v>1</x:v>
      </x:c>
      <x:c r="J14" s="58" t="n">
        <x:v>60</x:v>
      </x:c>
      <x:c r="K14" s="58" t="n">
        <x:v>0</x:v>
      </x:c>
      <x:c r="L14" s="58" t="n">
        <x:v>8</x:v>
      </x:c>
      <x:c r="M14" s="58" t="n">
        <x:f>COUNTIF('Dégâts armes'!$A$6:$A$220,B14)</x:f>
        <x:v>16</x:v>
      </x:c>
      <x:c r="N14" s="55" t="str">
        <x:v>Élevée</x:v>
      </x:c>
      <x:c r="O14" s="61" t="str">
        <x:v>Prix initial en boulons.</x:v>
      </x:c>
    </x:row>
    <x:row r="15">
      <x:c r="A15" s="55" t="n">
        <x:v>10</x:v>
      </x:c>
      <x:c r="B15" s="55" t="str">
        <x:v>Pisteur Laser</x:v>
      </x:c>
      <x:c r="C15" s="55" t="str">
        <x:v>lasertracer</x:v>
      </x:c>
      <x:c r="D15" s="55" t="str">
        <x:v>093E8A24h</x:v>
      </x:c>
      <x:c r="E15" s="55" t="n">
        <x:v>2</x:v>
      </x:c>
      <x:c r="F15" s="55" t="n">
        <x:v>10</x:v>
      </x:c>
      <x:c r="G15" s="58" t="n">
        <x:v>85000</x:v>
      </x:c>
      <x:c r="H15" s="58" t="n">
        <x:v>0</x:v>
      </x:c>
      <x:c r="I15" s="58" t="n">
        <x:v>1</x:v>
      </x:c>
      <x:c r="J15" s="58" t="n">
        <x:v>200</x:v>
      </x:c>
      <x:c r="K15" s="58" t="n">
        <x:v>0</x:v>
      </x:c>
      <x:c r="L15" s="58" t="n">
        <x:v>8</x:v>
      </x:c>
      <x:c r="M15" s="58" t="n">
        <x:f>COUNTIF('Dégâts armes'!$A$6:$A$220,B15)</x:f>
        <x:v>16</x:v>
      </x:c>
      <x:c r="N15" s="55" t="str">
        <x:v>Élevée</x:v>
      </x:c>
      <x:c r="O15" s="61" t="str">
        <x:v>Prix initial en boulons.</x:v>
      </x:c>
    </x:row>
    <x:row r="16">
      <x:c r="A16" s="55" t="n">
        <x:v>11</x:v>
      </x:c>
      <x:c r="B16" s="55" t="str">
        <x:v>Aspiro-Canon</x:v>
      </x:c>
      <x:c r="C16" s="55" t="str">
        <x:v>suckcannon</x:v>
      </x:c>
      <x:c r="D16" s="55" t="str">
        <x:v>093E8A7Ch</x:v>
      </x:c>
      <x:c r="E16" s="55" t="n">
        <x:v>2</x:v>
      </x:c>
      <x:c r="F16" s="55" t="n">
        <x:v>5</x:v>
      </x:c>
      <x:c r="G16" s="58" t="n">
        <x:v>30000</x:v>
      </x:c>
      <x:c r="H16" s="58" t="n">
        <x:v>0</x:v>
      </x:c>
      <x:c r="I16" s="58" t="n">
        <x:v>1</x:v>
      </x:c>
      <x:c r="J16" s="58" t="n">
        <x:v>0</x:v>
      </x:c>
      <x:c r="K16" s="58" t="n">
        <x:v>0</x:v>
      </x:c>
      <x:c r="L16" s="58" t="n">
        <x:v>8</x:v>
      </x:c>
      <x:c r="M16" s="58" t="n">
        <x:f>COUNTIF('Dégâts armes'!$A$6:$A$220,B16)</x:f>
        <x:v>33</x:v>
      </x:c>
      <x:c r="N16" s="55" t="str">
        <x:v>Élevée</x:v>
      </x:c>
      <x:c r="O16" s="61" t="str">
        <x:v>Prix initial en boulons.</x:v>
      </x:c>
    </x:row>
    <x:row r="17">
      <x:c r="A17" s="55" t="n">
        <x:v>12</x:v>
      </x:c>
      <x:c r="B17" s="55" t="str">
        <x:v>Bovinator</x:v>
      </x:c>
      <x:c r="C17" s="55" t="str">
        <x:v>mootator</x:v>
      </x:c>
      <x:c r="D17" s="55" t="str">
        <x:v>093E8AD4h</x:v>
      </x:c>
      <x:c r="E17" s="55" t="n">
        <x:v>2</x:v>
      </x:c>
      <x:c r="F17" s="55" t="n">
        <x:v>8</x:v>
      </x:c>
      <x:c r="G17" s="58" t="n">
        <x:v>0</x:v>
      </x:c>
      <x:c r="H17" s="58" t="n">
        <x:v>0</x:v>
      </x:c>
      <x:c r="I17" s="58" t="n">
        <x:v>1</x:v>
      </x:c>
      <x:c r="J17" s="58" t="n">
        <x:v>0</x:v>
      </x:c>
      <x:c r="K17" s="58" t="n">
        <x:v>0</x:v>
      </x:c>
      <x:c r="L17" s="58" t="n">
        <x:v>8</x:v>
      </x:c>
      <x:c r="M17" s="58" t="n">
        <x:f>COUNTIF('Dégâts armes'!$A$6:$A$220,B17)</x:f>
        <x:v>4</x:v>
      </x:c>
      <x:c r="N17" s="55" t="str">
        <x:v>Élevée</x:v>
      </x:c>
      <x:c r="O17" s="61" t="str">
        <x:v>Arme de départ, donnée ou gratuite dans cette table.</x:v>
      </x:c>
    </x:row>
    <x:row r="18">
      <x:c r="A18" s="56" t="n">
        <x:v>13</x:v>
      </x:c>
      <x:c r="B18" s="56" t="str">
        <x:v>T.E.L.T.</x:v>
      </x:c>
      <x:c r="C18" s="56" t="str">
        <x:v>ryno</x:v>
      </x:c>
      <x:c r="D18" s="56" t="str">
        <x:v>093E8B84h</x:v>
      </x:c>
      <x:c r="E18" s="56" t="n">
        <x:v>2</x:v>
      </x:c>
      <x:c r="F18" s="56" t="n">
        <x:v>20</x:v>
      </x:c>
      <x:c r="G18" s="59" t="n">
        <x:v>9999000</x:v>
      </x:c>
      <x:c r="H18" s="59" t="n">
        <x:v>0</x:v>
      </x:c>
      <x:c r="I18" s="59" t="n">
        <x:v>1</x:v>
      </x:c>
      <x:c r="J18" s="59" t="n">
        <x:v>30</x:v>
      </x:c>
      <x:c r="K18" s="59" t="n">
        <x:v>0</x:v>
      </x:c>
      <x:c r="L18" s="59" t="n">
        <x:v>4</x:v>
      </x:c>
      <x:c r="M18" s="59" t="n">
        <x:f>COUNTIF('Dégâts armes'!$A$6:$A$220,B18)</x:f>
        <x:v>9</x:v>
      </x:c>
      <x:c r="N18" s="56" t="str">
        <x:v>Élevée</x:v>
      </x:c>
      <x:c r="O18" s="62" t="str">
        <x:v>Prix initial en boulons.</x:v>
      </x:c>
    </x:row>
  </x:sheetData>
  <x:mergeCells>
    <x:mergeCell ref="A1:O1"/>
    <x:mergeCell ref="A2:O2"/>
  </x:mergeCells>
  <x:conditionalFormatting sqref="N6:N18">
    <x:cfRule type="containsText" dxfId="0" priority="1" operator="containsText" text="Élevée"/>
    <x:cfRule type="containsText" dxfId="1" priority="2" operator="containsText" text="Moyenne"/>
    <x:cfRule type="containsText" dxfId="2" priority="3" operator="containsText" text="Faible"/>
  </x:conditionalFormatting>
  <x:pageMargins left="0.7" right="0.7" top="0.75" bottom="0.75" header="0.3" footer="0.3"/>
  <x:tableParts count="1">
    <x:tablePart xmlns:r="http://schemas.openxmlformats.org/officeDocument/2006/relationships" r:id="Rdaba1dc9cbb740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8" hidden="0" customWidth="1"/>
    <x:col min="4" max="4" width="17" hidden="0" customWidth="1"/>
    <x:col min="5" max="5" width="20" hidden="0" customWidth="1"/>
    <x:col min="6" max="6" width="16" hidden="0" customWidth="1"/>
    <x:col min="7" max="7" width="17" hidden="0" customWidth="1"/>
    <x:col min="8" max="8" width="15" hidden="0" customWidth="1"/>
    <x:col min="9" max="9" width="19" hidden="0" customWidth="1"/>
    <x:col min="10" max="10" width="15" hidden="0" customWidth="1"/>
    <x:col min="11" max="11" width="15" hidden="0" customWidth="1"/>
    <x:col min="12" max="12" width="12" hidden="0" customWidth="1"/>
    <x:col min="13" max="13" width="24" hidden="0" customWidth="1"/>
    <x:col min="14" max="14" width="12" hidden="0" customWidth="1"/>
  </x:cols>
  <x:sheetData>
    <x:row r="1" ht="32" customHeight="1">
      <x:c r="A1" s="3" t="str">
        <x:v>Progression, coûts et munitions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Un record de 0x50 octets par niveau; V4→V5 se fait par achat Titan et non par XP.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5" ht="30" customHeight="1">
      <x:c r="A5" s="47" t="str">
        <x:v>Arme</x:v>
      </x:c>
      <x:c r="B5" s="48" t="str">
        <x:v>Interne</x:v>
      </x:c>
      <x:c r="C5" s="48" t="str">
        <x:v>Niveau</x:v>
      </x:c>
      <x:c r="D5" s="48" t="str">
        <x:v>Record runtime</x:v>
      </x:c>
      <x:c r="E5" s="48" t="str">
        <x:v>Transition</x:v>
      </x:c>
      <x:c r="F5" s="48" t="str">
        <x:v>Type de coût</x:v>
      </x:c>
      <x:c r="G5" s="48" t="str">
        <x:v>Coût achat/Titan</x:v>
      </x:c>
      <x:c r="H5" s="48" t="str">
        <x:v>Seuil XP</x:v>
      </x:c>
      <x:c r="I5" s="48" t="str">
        <x:v>Coût unité munition</x:v>
      </x:c>
      <x:c r="J5" s="48" t="str">
        <x:v>Munitions max</x:v>
      </x:c>
      <x:c r="K5" s="48" t="str">
        <x:v>Quantité pack</x:v>
      </x:c>
      <x:c r="L5" s="48" t="str">
        <x:v>Enum +0x24</x:v>
      </x:c>
      <x:c r="M5" s="48" t="str">
        <x:v>IDs +0x28/+0x2C/+0x30</x:v>
      </x:c>
      <x:c r="N5" s="49" t="str">
        <x:v>Confiance</x:v>
      </x:c>
    </x:row>
    <x:row r="6">
      <x:c r="A6" s="54" t="str">
        <x:v>Lacérator</x:v>
      </x:c>
      <x:c r="B6" s="54" t="str">
        <x:v>blaster</x:v>
      </x:c>
      <x:c r="C6" s="54" t="n">
        <x:v>1</x:v>
      </x:c>
      <x:c r="D6" s="54" t="str">
        <x:v>093E6100h</x:v>
      </x:c>
      <x:c r="E6" s="54" t="str">
        <x:v>V1 → V2</x:v>
      </x:c>
      <x:c r="F6" s="54" t="str">
        <x:v>Initial / gratuit</x:v>
      </x:c>
      <x:c r="G6" s="57" t="n">
        <x:v>0</x:v>
      </x:c>
      <x:c r="H6" s="57" t="n">
        <x:v>3000</x:v>
      </x:c>
      <x:c r="I6" s="57" t="n">
        <x:v>2</x:v>
      </x:c>
      <x:c r="J6" s="57" t="n">
        <x:v>60</x:v>
      </x:c>
      <x:c r="K6" s="57" t="n">
        <x:v>10</x:v>
      </x:c>
      <x:c r="L6" s="54" t="n">
        <x:v>2</x:v>
      </x:c>
      <x:c r="M6" s="54" t="str">
        <x:v>704 / 705 / 810</x:v>
      </x:c>
      <x:c r="N6" s="54" t="str">
        <x:v>Élevée</x:v>
      </x:c>
    </x:row>
    <x:row r="7">
      <x:c r="A7" s="55" t="str">
        <x:v>Lacérator</x:v>
      </x:c>
      <x:c r="B7" s="55" t="str">
        <x:v>blaster</x:v>
      </x:c>
      <x:c r="C7" s="55" t="n">
        <x:v>2</x:v>
      </x:c>
      <x:c r="D7" s="55" t="str">
        <x:v>093E6150h</x:v>
      </x:c>
      <x:c r="E7" s="55" t="str">
        <x:v>V2 → V3</x:v>
      </x:c>
      <x:c r="F7" s="55" t="str">
        <x:v>—</x:v>
      </x:c>
      <x:c r="G7" s="58" t="n">
        <x:v>0</x:v>
      </x:c>
      <x:c r="H7" s="58" t="n">
        <x:v>9000</x:v>
      </x:c>
      <x:c r="I7" s="58" t="n">
        <x:v>2</x:v>
      </x:c>
      <x:c r="J7" s="58" t="n">
        <x:v>70</x:v>
      </x:c>
      <x:c r="K7" s="58" t="n">
        <x:v>10</x:v>
      </x:c>
      <x:c r="L7" s="55" t="n">
        <x:v>2</x:v>
      </x:c>
      <x:c r="M7" s="55" t="str">
        <x:v>706 / 707 / 811</x:v>
      </x:c>
      <x:c r="N7" s="55" t="str">
        <x:v>Élevée</x:v>
      </x:c>
    </x:row>
    <x:row r="8">
      <x:c r="A8" s="55" t="str">
        <x:v>Lacérator</x:v>
      </x:c>
      <x:c r="B8" s="55" t="str">
        <x:v>blaster</x:v>
      </x:c>
      <x:c r="C8" s="55" t="n">
        <x:v>3</x:v>
      </x:c>
      <x:c r="D8" s="55" t="str">
        <x:v>093E61A0h</x:v>
      </x:c>
      <x:c r="E8" s="55" t="str">
        <x:v>V3 → V4</x:v>
      </x:c>
      <x:c r="F8" s="55" t="str">
        <x:v>—</x:v>
      </x:c>
      <x:c r="G8" s="58" t="n">
        <x:v>0</x:v>
      </x:c>
      <x:c r="H8" s="58" t="n">
        <x:v>15000</x:v>
      </x:c>
      <x:c r="I8" s="58" t="n">
        <x:v>2</x:v>
      </x:c>
      <x:c r="J8" s="58" t="n">
        <x:v>80</x:v>
      </x:c>
      <x:c r="K8" s="58" t="n">
        <x:v>10</x:v>
      </x:c>
      <x:c r="L8" s="55" t="n">
        <x:v>2</x:v>
      </x:c>
      <x:c r="M8" s="55" t="str">
        <x:v>708 / 709 / 812</x:v>
      </x:c>
      <x:c r="N8" s="55" t="str">
        <x:v>Élevée</x:v>
      </x:c>
    </x:row>
    <x:row r="9">
      <x:c r="A9" s="55" t="str">
        <x:v>Lacérator</x:v>
      </x:c>
      <x:c r="B9" s="55" t="str">
        <x:v>blaster</x:v>
      </x:c>
      <x:c r="C9" s="55" t="n">
        <x:v>4</x:v>
      </x:c>
      <x:c r="D9" s="55" t="str">
        <x:v>093E61F0h</x:v>
      </x:c>
      <x:c r="E9" s="55" t="str">
        <x:v>V4 → V5 (Titan)</x:v>
      </x:c>
      <x:c r="F9" s="55" t="str">
        <x:v>Achat Titan</x:v>
      </x:c>
      <x:c r="G9" s="58" t="n">
        <x:v>250000</x:v>
      </x:c>
      <x:c r="H9" s="58" t="n">
        <x:v>0</x:v>
      </x:c>
      <x:c r="I9" s="58" t="n">
        <x:v>2</x:v>
      </x:c>
      <x:c r="J9" s="58" t="n">
        <x:v>120</x:v>
      </x:c>
      <x:c r="K9" s="58" t="n">
        <x:v>20</x:v>
      </x:c>
      <x:c r="L9" s="55" t="n">
        <x:v>5</x:v>
      </x:c>
      <x:c r="M9" s="55" t="str">
        <x:v>710 / 711 / 813</x:v>
      </x:c>
      <x:c r="N9" s="55" t="str">
        <x:v>Élevée</x:v>
      </x:c>
    </x:row>
    <x:row r="10">
      <x:c r="A10" s="55" t="str">
        <x:v>Lacérator</x:v>
      </x:c>
      <x:c r="B10" s="55" t="str">
        <x:v>blaster</x:v>
      </x:c>
      <x:c r="C10" s="55" t="n">
        <x:v>5</x:v>
      </x:c>
      <x:c r="D10" s="55" t="str">
        <x:v>093E6240h</x:v>
      </x:c>
      <x:c r="E10" s="55" t="str">
        <x:v>V5 → V6</x:v>
      </x:c>
      <x:c r="F10" s="55" t="str">
        <x:v>—</x:v>
      </x:c>
      <x:c r="G10" s="58" t="n">
        <x:v>0</x:v>
      </x:c>
      <x:c r="H10" s="58" t="n">
        <x:v>27000</x:v>
      </x:c>
      <x:c r="I10" s="58" t="n">
        <x:v>15</x:v>
      </x:c>
      <x:c r="J10" s="58" t="n">
        <x:v>120</x:v>
      </x:c>
      <x:c r="K10" s="58" t="n">
        <x:v>20</x:v>
      </x:c>
      <x:c r="L10" s="55" t="n">
        <x:v>5</x:v>
      </x:c>
      <x:c r="M10" s="55" t="str">
        <x:v>710 / 711 / 813</x:v>
      </x:c>
      <x:c r="N10" s="55" t="str">
        <x:v>Élevée</x:v>
      </x:c>
    </x:row>
    <x:row r="11">
      <x:c r="A11" s="55" t="str">
        <x:v>Lacérator</x:v>
      </x:c>
      <x:c r="B11" s="55" t="str">
        <x:v>blaster</x:v>
      </x:c>
      <x:c r="C11" s="55" t="n">
        <x:v>6</x:v>
      </x:c>
      <x:c r="D11" s="55" t="str">
        <x:v>093E6290h</x:v>
      </x:c>
      <x:c r="E11" s="55" t="str">
        <x:v>V6 → V7</x:v>
      </x:c>
      <x:c r="F11" s="55" t="str">
        <x:v>—</x:v>
      </x:c>
      <x:c r="G11" s="58" t="n">
        <x:v>0</x:v>
      </x:c>
      <x:c r="H11" s="58" t="n">
        <x:v>55000</x:v>
      </x:c>
      <x:c r="I11" s="58" t="n">
        <x:v>15</x:v>
      </x:c>
      <x:c r="J11" s="58" t="n">
        <x:v>120</x:v>
      </x:c>
      <x:c r="K11" s="58" t="n">
        <x:v>20</x:v>
      </x:c>
      <x:c r="L11" s="55" t="n">
        <x:v>5</x:v>
      </x:c>
      <x:c r="M11" s="55" t="str">
        <x:v>710 / 711 / 813</x:v>
      </x:c>
      <x:c r="N11" s="55" t="str">
        <x:v>Élevée</x:v>
      </x:c>
    </x:row>
    <x:row r="12">
      <x:c r="A12" s="55" t="str">
        <x:v>Lacérator</x:v>
      </x:c>
      <x:c r="B12" s="55" t="str">
        <x:v>blaster</x:v>
      </x:c>
      <x:c r="C12" s="55" t="n">
        <x:v>7</x:v>
      </x:c>
      <x:c r="D12" s="55" t="str">
        <x:v>093E62E0h</x:v>
      </x:c>
      <x:c r="E12" s="55" t="str">
        <x:v>V7 → V8</x:v>
      </x:c>
      <x:c r="F12" s="55" t="str">
        <x:v>—</x:v>
      </x:c>
      <x:c r="G12" s="58" t="n">
        <x:v>0</x:v>
      </x:c>
      <x:c r="H12" s="58" t="n">
        <x:v>205000</x:v>
      </x:c>
      <x:c r="I12" s="58" t="n">
        <x:v>15</x:v>
      </x:c>
      <x:c r="J12" s="58" t="n">
        <x:v>120</x:v>
      </x:c>
      <x:c r="K12" s="58" t="n">
        <x:v>20</x:v>
      </x:c>
      <x:c r="L12" s="55" t="n">
        <x:v>5</x:v>
      </x:c>
      <x:c r="M12" s="55" t="str">
        <x:v>710 / 711 / 813</x:v>
      </x:c>
      <x:c r="N12" s="55" t="str">
        <x:v>Élevée</x:v>
      </x:c>
    </x:row>
    <x:row r="13">
      <x:c r="A13" s="55" t="str">
        <x:v>Lacérator</x:v>
      </x:c>
      <x:c r="B13" s="55" t="str">
        <x:v>blaster</x:v>
      </x:c>
      <x:c r="C13" s="55" t="n">
        <x:v>8</x:v>
      </x:c>
      <x:c r="D13" s="55" t="str">
        <x:v>093E6330h</x:v>
      </x:c>
      <x:c r="E13" s="55" t="str">
        <x:v>Niveau maximum</x:v>
      </x:c>
      <x:c r="F13" s="55" t="str">
        <x:v>—</x:v>
      </x:c>
      <x:c r="G13" s="58" t="n">
        <x:v>0</x:v>
      </x:c>
      <x:c r="H13" s="58" t="n">
        <x:v>0</x:v>
      </x:c>
      <x:c r="I13" s="58" t="n">
        <x:v>15</x:v>
      </x:c>
      <x:c r="J13" s="58" t="n">
        <x:v>120</x:v>
      </x:c>
      <x:c r="K13" s="58" t="n">
        <x:v>20</x:v>
      </x:c>
      <x:c r="L13" s="55" t="n">
        <x:v>5</x:v>
      </x:c>
      <x:c r="M13" s="55" t="str">
        <x:v>710 / 711 / 813</x:v>
      </x:c>
      <x:c r="N13" s="55" t="str">
        <x:v>Élevée</x:v>
      </x:c>
    </x:row>
    <x:row r="14">
      <x:c r="A14" s="55" t="str">
        <x:v>Tremblator</x:v>
      </x:c>
      <x:c r="B14" s="55" t="str">
        <x:v>blitzgun</x:v>
      </x:c>
      <x:c r="C14" s="55" t="n">
        <x:v>1</x:v>
      </x:c>
      <x:c r="D14" s="55" t="str">
        <x:v>093E63B8h</x:v>
      </x:c>
      <x:c r="E14" s="55" t="str">
        <x:v>V1 → V2</x:v>
      </x:c>
      <x:c r="F14" s="55" t="str">
        <x:v>Achat initial</x:v>
      </x:c>
      <x:c r="G14" s="58" t="n">
        <x:v>10000</x:v>
      </x:c>
      <x:c r="H14" s="58" t="n">
        <x:v>6000</x:v>
      </x:c>
      <x:c r="I14" s="58" t="n">
        <x:v>8</x:v>
      </x:c>
      <x:c r="J14" s="58" t="n">
        <x:v>25</x:v>
      </x:c>
      <x:c r="K14" s="58" t="n">
        <x:v>5</x:v>
      </x:c>
      <x:c r="L14" s="55" t="n">
        <x:v>3</x:v>
      </x:c>
      <x:c r="M14" s="55" t="str">
        <x:v>728 / 729 / 822</x:v>
      </x:c>
      <x:c r="N14" s="55" t="str">
        <x:v>Élevée</x:v>
      </x:c>
    </x:row>
    <x:row r="15">
      <x:c r="A15" s="55" t="str">
        <x:v>Tremblator</x:v>
      </x:c>
      <x:c r="B15" s="55" t="str">
        <x:v>blitzgun</x:v>
      </x:c>
      <x:c r="C15" s="55" t="n">
        <x:v>2</x:v>
      </x:c>
      <x:c r="D15" s="55" t="str">
        <x:v>093E6408h</x:v>
      </x:c>
      <x:c r="E15" s="55" t="str">
        <x:v>V2 → V3</x:v>
      </x:c>
      <x:c r="F15" s="55" t="str">
        <x:v>—</x:v>
      </x:c>
      <x:c r="G15" s="58" t="n">
        <x:v>0</x:v>
      </x:c>
      <x:c r="H15" s="58" t="n">
        <x:v>9000</x:v>
      </x:c>
      <x:c r="I15" s="58" t="n">
        <x:v>8</x:v>
      </x:c>
      <x:c r="J15" s="58" t="n">
        <x:v>25</x:v>
      </x:c>
      <x:c r="K15" s="58" t="n">
        <x:v>5</x:v>
      </x:c>
      <x:c r="L15" s="55" t="n">
        <x:v>3</x:v>
      </x:c>
      <x:c r="M15" s="55" t="str">
        <x:v>730 / 731 / 823</x:v>
      </x:c>
      <x:c r="N15" s="55" t="str">
        <x:v>Élevée</x:v>
      </x:c>
    </x:row>
    <x:row r="16">
      <x:c r="A16" s="55" t="str">
        <x:v>Tremblator</x:v>
      </x:c>
      <x:c r="B16" s="55" t="str">
        <x:v>blitzgun</x:v>
      </x:c>
      <x:c r="C16" s="55" t="n">
        <x:v>3</x:v>
      </x:c>
      <x:c r="D16" s="55" t="str">
        <x:v>093E6458h</x:v>
      </x:c>
      <x:c r="E16" s="55" t="str">
        <x:v>V3 → V4</x:v>
      </x:c>
      <x:c r="F16" s="55" t="str">
        <x:v>—</x:v>
      </x:c>
      <x:c r="G16" s="58" t="n">
        <x:v>0</x:v>
      </x:c>
      <x:c r="H16" s="58" t="n">
        <x:v>12000</x:v>
      </x:c>
      <x:c r="I16" s="58" t="n">
        <x:v>8</x:v>
      </x:c>
      <x:c r="J16" s="58" t="n">
        <x:v>30</x:v>
      </x:c>
      <x:c r="K16" s="58" t="n">
        <x:v>5</x:v>
      </x:c>
      <x:c r="L16" s="55" t="n">
        <x:v>3</x:v>
      </x:c>
      <x:c r="M16" s="55" t="str">
        <x:v>732 / 733 / 824</x:v>
      </x:c>
      <x:c r="N16" s="55" t="str">
        <x:v>Élevée</x:v>
      </x:c>
    </x:row>
    <x:row r="17">
      <x:c r="A17" s="55" t="str">
        <x:v>Tremblator</x:v>
      </x:c>
      <x:c r="B17" s="55" t="str">
        <x:v>blitzgun</x:v>
      </x:c>
      <x:c r="C17" s="55" t="n">
        <x:v>4</x:v>
      </x:c>
      <x:c r="D17" s="55" t="str">
        <x:v>093E64A8h</x:v>
      </x:c>
      <x:c r="E17" s="55" t="str">
        <x:v>V4 → V5 (Titan)</x:v>
      </x:c>
      <x:c r="F17" s="55" t="str">
        <x:v>Achat Titan</x:v>
      </x:c>
      <x:c r="G17" s="58" t="n">
        <x:v>250000</x:v>
      </x:c>
      <x:c r="H17" s="58" t="n">
        <x:v>0</x:v>
      </x:c>
      <x:c r="I17" s="58" t="n">
        <x:v>8</x:v>
      </x:c>
      <x:c r="J17" s="58" t="n">
        <x:v>30</x:v>
      </x:c>
      <x:c r="K17" s="58" t="n">
        <x:v>5</x:v>
      </x:c>
      <x:c r="L17" s="55" t="n">
        <x:v>3</x:v>
      </x:c>
      <x:c r="M17" s="55" t="str">
        <x:v>734 / 735 / 825</x:v>
      </x:c>
      <x:c r="N17" s="55" t="str">
        <x:v>Élevée</x:v>
      </x:c>
    </x:row>
    <x:row r="18">
      <x:c r="A18" s="55" t="str">
        <x:v>Tremblator</x:v>
      </x:c>
      <x:c r="B18" s="55" t="str">
        <x:v>blitzgun</x:v>
      </x:c>
      <x:c r="C18" s="55" t="n">
        <x:v>5</x:v>
      </x:c>
      <x:c r="D18" s="55" t="str">
        <x:v>093E64F8h</x:v>
      </x:c>
      <x:c r="E18" s="55" t="str">
        <x:v>V5 → V6</x:v>
      </x:c>
      <x:c r="F18" s="55" t="str">
        <x:v>—</x:v>
      </x:c>
      <x:c r="G18" s="58" t="n">
        <x:v>0</x:v>
      </x:c>
      <x:c r="H18" s="58" t="n">
        <x:v>50000</x:v>
      </x:c>
      <x:c r="I18" s="58" t="n">
        <x:v>85</x:v>
      </x:c>
      <x:c r="J18" s="58" t="n">
        <x:v>25</x:v>
      </x:c>
      <x:c r="K18" s="58" t="n">
        <x:v>5</x:v>
      </x:c>
      <x:c r="L18" s="55" t="n">
        <x:v>3</x:v>
      </x:c>
      <x:c r="M18" s="55" t="str">
        <x:v>734 / 735 / 825</x:v>
      </x:c>
      <x:c r="N18" s="55" t="str">
        <x:v>Élevée</x:v>
      </x:c>
    </x:row>
    <x:row r="19">
      <x:c r="A19" s="55" t="str">
        <x:v>Tremblator</x:v>
      </x:c>
      <x:c r="B19" s="55" t="str">
        <x:v>blitzgun</x:v>
      </x:c>
      <x:c r="C19" s="55" t="n">
        <x:v>6</x:v>
      </x:c>
      <x:c r="D19" s="55" t="str">
        <x:v>093E6548h</x:v>
      </x:c>
      <x:c r="E19" s="55" t="str">
        <x:v>V6 → V7</x:v>
      </x:c>
      <x:c r="F19" s="55" t="str">
        <x:v>—</x:v>
      </x:c>
      <x:c r="G19" s="58" t="n">
        <x:v>0</x:v>
      </x:c>
      <x:c r="H19" s="58" t="n">
        <x:v>78000</x:v>
      </x:c>
      <x:c r="I19" s="58" t="n">
        <x:v>85</x:v>
      </x:c>
      <x:c r="J19" s="58" t="n">
        <x:v>25</x:v>
      </x:c>
      <x:c r="K19" s="58" t="n">
        <x:v>5</x:v>
      </x:c>
      <x:c r="L19" s="55" t="n">
        <x:v>3</x:v>
      </x:c>
      <x:c r="M19" s="55" t="str">
        <x:v>734 / 735 / 825</x:v>
      </x:c>
      <x:c r="N19" s="55" t="str">
        <x:v>Élevée</x:v>
      </x:c>
    </x:row>
    <x:row r="20">
      <x:c r="A20" s="55" t="str">
        <x:v>Tremblator</x:v>
      </x:c>
      <x:c r="B20" s="55" t="str">
        <x:v>blitzgun</x:v>
      </x:c>
      <x:c r="C20" s="55" t="n">
        <x:v>7</x:v>
      </x:c>
      <x:c r="D20" s="55" t="str">
        <x:v>093E6598h</x:v>
      </x:c>
      <x:c r="E20" s="55" t="str">
        <x:v>V7 → V8</x:v>
      </x:c>
      <x:c r="F20" s="55" t="str">
        <x:v>—</x:v>
      </x:c>
      <x:c r="G20" s="58" t="n">
        <x:v>0</x:v>
      </x:c>
      <x:c r="H20" s="58" t="n">
        <x:v>158000</x:v>
      </x:c>
      <x:c r="I20" s="58" t="n">
        <x:v>85</x:v>
      </x:c>
      <x:c r="J20" s="58" t="n">
        <x:v>25</x:v>
      </x:c>
      <x:c r="K20" s="58" t="n">
        <x:v>5</x:v>
      </x:c>
      <x:c r="L20" s="55" t="n">
        <x:v>3</x:v>
      </x:c>
      <x:c r="M20" s="55" t="str">
        <x:v>734 / 735 / 825</x:v>
      </x:c>
      <x:c r="N20" s="55" t="str">
        <x:v>Élevée</x:v>
      </x:c>
    </x:row>
    <x:row r="21">
      <x:c r="A21" s="55" t="str">
        <x:v>Tremblator</x:v>
      </x:c>
      <x:c r="B21" s="55" t="str">
        <x:v>blitzgun</x:v>
      </x:c>
      <x:c r="C21" s="55" t="n">
        <x:v>8</x:v>
      </x:c>
      <x:c r="D21" s="55" t="str">
        <x:v>093E65E8h</x:v>
      </x:c>
      <x:c r="E21" s="55" t="str">
        <x:v>Niveau maximum</x:v>
      </x:c>
      <x:c r="F21" s="55" t="str">
        <x:v>—</x:v>
      </x:c>
      <x:c r="G21" s="58" t="n">
        <x:v>0</x:v>
      </x:c>
      <x:c r="H21" s="58" t="n">
        <x:v>0</x:v>
      </x:c>
      <x:c r="I21" s="58" t="n">
        <x:v>85</x:v>
      </x:c>
      <x:c r="J21" s="58" t="n">
        <x:v>25</x:v>
      </x:c>
      <x:c r="K21" s="58" t="n">
        <x:v>5</x:v>
      </x:c>
      <x:c r="L21" s="55" t="n">
        <x:v>3</x:v>
      </x:c>
      <x:c r="M21" s="55" t="str">
        <x:v>734 / 735 / 825</x:v>
      </x:c>
      <x:c r="N21" s="55" t="str">
        <x:v>Élevée</x:v>
      </x:c>
    </x:row>
    <x:row r="22">
      <x:c r="A22" s="55" t="str">
        <x:v>Gant à Bombacide</x:v>
      </x:c>
      <x:c r="B22" s="55" t="str">
        <x:v>bombglove</x:v>
      </x:c>
      <x:c r="C22" s="55" t="n">
        <x:v>1</x:v>
      </x:c>
      <x:c r="D22" s="55" t="str">
        <x:v>093E668Ch</x:v>
      </x:c>
      <x:c r="E22" s="55" t="str">
        <x:v>V1 → V2</x:v>
      </x:c>
      <x:c r="F22" s="55" t="str">
        <x:v>Initial / gratuit</x:v>
      </x:c>
      <x:c r="G22" s="58" t="n">
        <x:v>0</x:v>
      </x:c>
      <x:c r="H22" s="58" t="n">
        <x:v>3000</x:v>
      </x:c>
      <x:c r="I22" s="58" t="n">
        <x:v>35</x:v>
      </x:c>
      <x:c r="J22" s="58" t="n">
        <x:v>5</x:v>
      </x:c>
      <x:c r="K22" s="58" t="n">
        <x:v>1</x:v>
      </x:c>
      <x:c r="L22" s="55" t="n">
        <x:v>4</x:v>
      </x:c>
      <x:c r="M22" s="55" t="str">
        <x:v>712 / 713 / 814</x:v>
      </x:c>
      <x:c r="N22" s="55" t="str">
        <x:v>Élevée</x:v>
      </x:c>
    </x:row>
    <x:row r="23">
      <x:c r="A23" s="55" t="str">
        <x:v>Gant à Bombacide</x:v>
      </x:c>
      <x:c r="B23" s="55" t="str">
        <x:v>bombglove</x:v>
      </x:c>
      <x:c r="C23" s="55" t="n">
        <x:v>2</x:v>
      </x:c>
      <x:c r="D23" s="55" t="str">
        <x:v>093E66DCh</x:v>
      </x:c>
      <x:c r="E23" s="55" t="str">
        <x:v>V2 → V3</x:v>
      </x:c>
      <x:c r="F23" s="55" t="str">
        <x:v>—</x:v>
      </x:c>
      <x:c r="G23" s="58" t="n">
        <x:v>0</x:v>
      </x:c>
      <x:c r="H23" s="58" t="n">
        <x:v>6000</x:v>
      </x:c>
      <x:c r="I23" s="58" t="n">
        <x:v>35</x:v>
      </x:c>
      <x:c r="J23" s="58" t="n">
        <x:v>7</x:v>
      </x:c>
      <x:c r="K23" s="58" t="n">
        <x:v>1</x:v>
      </x:c>
      <x:c r="L23" s="55" t="n">
        <x:v>4</x:v>
      </x:c>
      <x:c r="M23" s="55" t="str">
        <x:v>714 / 715 / 815</x:v>
      </x:c>
      <x:c r="N23" s="55" t="str">
        <x:v>Élevée</x:v>
      </x:c>
    </x:row>
    <x:row r="24">
      <x:c r="A24" s="55" t="str">
        <x:v>Gant à Bombacide</x:v>
      </x:c>
      <x:c r="B24" s="55" t="str">
        <x:v>bombglove</x:v>
      </x:c>
      <x:c r="C24" s="55" t="n">
        <x:v>3</x:v>
      </x:c>
      <x:c r="D24" s="55" t="str">
        <x:v>093E672Ch</x:v>
      </x:c>
      <x:c r="E24" s="55" t="str">
        <x:v>V3 → V4</x:v>
      </x:c>
      <x:c r="F24" s="55" t="str">
        <x:v>—</x:v>
      </x:c>
      <x:c r="G24" s="58" t="n">
        <x:v>0</x:v>
      </x:c>
      <x:c r="H24" s="58" t="n">
        <x:v>9000</x:v>
      </x:c>
      <x:c r="I24" s="58" t="n">
        <x:v>35</x:v>
      </x:c>
      <x:c r="J24" s="58" t="n">
        <x:v>9</x:v>
      </x:c>
      <x:c r="K24" s="58" t="n">
        <x:v>1</x:v>
      </x:c>
      <x:c r="L24" s="55" t="n">
        <x:v>4</x:v>
      </x:c>
      <x:c r="M24" s="55" t="str">
        <x:v>716 / 717 / 816</x:v>
      </x:c>
      <x:c r="N24" s="55" t="str">
        <x:v>Élevée</x:v>
      </x:c>
    </x:row>
    <x:row r="25">
      <x:c r="A25" s="55" t="str">
        <x:v>Gant à Bombacide</x:v>
      </x:c>
      <x:c r="B25" s="55" t="str">
        <x:v>bombglove</x:v>
      </x:c>
      <x:c r="C25" s="55" t="n">
        <x:v>4</x:v>
      </x:c>
      <x:c r="D25" s="55" t="str">
        <x:v>093E677Ch</x:v>
      </x:c>
      <x:c r="E25" s="55" t="str">
        <x:v>V4 → V5 (Titan)</x:v>
      </x:c>
      <x:c r="F25" s="55" t="str">
        <x:v>Achat Titan</x:v>
      </x:c>
      <x:c r="G25" s="58" t="n">
        <x:v>250000</x:v>
      </x:c>
      <x:c r="H25" s="58" t="n">
        <x:v>0</x:v>
      </x:c>
      <x:c r="I25" s="58" t="n">
        <x:v>35</x:v>
      </x:c>
      <x:c r="J25" s="58" t="n">
        <x:v>10</x:v>
      </x:c>
      <x:c r="K25" s="58" t="n">
        <x:v>1</x:v>
      </x:c>
      <x:c r="L25" s="55" t="n">
        <x:v>4</x:v>
      </x:c>
      <x:c r="M25" s="55" t="str">
        <x:v>718 / 719 / 817</x:v>
      </x:c>
      <x:c r="N25" s="55" t="str">
        <x:v>Élevée</x:v>
      </x:c>
    </x:row>
    <x:row r="26">
      <x:c r="A26" s="55" t="str">
        <x:v>Gant à Bombacide</x:v>
      </x:c>
      <x:c r="B26" s="55" t="str">
        <x:v>bombglove</x:v>
      </x:c>
      <x:c r="C26" s="55" t="n">
        <x:v>5</x:v>
      </x:c>
      <x:c r="D26" s="55" t="str">
        <x:v>093E67CCh</x:v>
      </x:c>
      <x:c r="E26" s="55" t="str">
        <x:v>V5 → V6</x:v>
      </x:c>
      <x:c r="F26" s="55" t="str">
        <x:v>—</x:v>
      </x:c>
      <x:c r="G26" s="58" t="n">
        <x:v>0</x:v>
      </x:c>
      <x:c r="H26" s="58" t="n">
        <x:v>27000</x:v>
      </x:c>
      <x:c r="I26" s="58" t="n">
        <x:v>275</x:v>
      </x:c>
      <x:c r="J26" s="58" t="n">
        <x:v>8</x:v>
      </x:c>
      <x:c r="K26" s="58" t="n">
        <x:v>1</x:v>
      </x:c>
      <x:c r="L26" s="55" t="n">
        <x:v>4</x:v>
      </x:c>
      <x:c r="M26" s="55" t="str">
        <x:v>718 / 719 / 817</x:v>
      </x:c>
      <x:c r="N26" s="55" t="str">
        <x:v>Élevée</x:v>
      </x:c>
    </x:row>
    <x:row r="27">
      <x:c r="A27" s="55" t="str">
        <x:v>Gant à Bombacide</x:v>
      </x:c>
      <x:c r="B27" s="55" t="str">
        <x:v>bombglove</x:v>
      </x:c>
      <x:c r="C27" s="55" t="n">
        <x:v>6</x:v>
      </x:c>
      <x:c r="D27" s="55" t="str">
        <x:v>093E681Ch</x:v>
      </x:c>
      <x:c r="E27" s="55" t="str">
        <x:v>V6 → V7</x:v>
      </x:c>
      <x:c r="F27" s="55" t="str">
        <x:v>—</x:v>
      </x:c>
      <x:c r="G27" s="58" t="n">
        <x:v>0</x:v>
      </x:c>
      <x:c r="H27" s="58" t="n">
        <x:v>55000</x:v>
      </x:c>
      <x:c r="I27" s="58" t="n">
        <x:v>275</x:v>
      </x:c>
      <x:c r="J27" s="58" t="n">
        <x:v>8</x:v>
      </x:c>
      <x:c r="K27" s="58" t="n">
        <x:v>1</x:v>
      </x:c>
      <x:c r="L27" s="55" t="n">
        <x:v>4</x:v>
      </x:c>
      <x:c r="M27" s="55" t="str">
        <x:v>718 / 719 / 817</x:v>
      </x:c>
      <x:c r="N27" s="55" t="str">
        <x:v>Élevée</x:v>
      </x:c>
    </x:row>
    <x:row r="28">
      <x:c r="A28" s="55" t="str">
        <x:v>Gant à Bombacide</x:v>
      </x:c>
      <x:c r="B28" s="55" t="str">
        <x:v>bombglove</x:v>
      </x:c>
      <x:c r="C28" s="55" t="n">
        <x:v>7</x:v>
      </x:c>
      <x:c r="D28" s="55" t="str">
        <x:v>093E681Ch</x:v>
      </x:c>
      <x:c r="E28" s="55" t="str">
        <x:v>V7 → V8</x:v>
      </x:c>
      <x:c r="F28" s="55" t="str">
        <x:v>—</x:v>
      </x:c>
      <x:c r="G28" s="58" t="n">
        <x:v>0</x:v>
      </x:c>
      <x:c r="H28" s="58" t="n">
        <x:v>55000</x:v>
      </x:c>
      <x:c r="I28" s="58" t="n">
        <x:v>275</x:v>
      </x:c>
      <x:c r="J28" s="58" t="n">
        <x:v>8</x:v>
      </x:c>
      <x:c r="K28" s="58" t="n">
        <x:v>1</x:v>
      </x:c>
      <x:c r="L28" s="55" t="n">
        <x:v>4</x:v>
      </x:c>
      <x:c r="M28" s="55" t="str">
        <x:v>718 / 719 / 817</x:v>
      </x:c>
      <x:c r="N28" s="55" t="str">
        <x:v>Élevée</x:v>
      </x:c>
    </x:row>
    <x:row r="29">
      <x:c r="A29" s="55" t="str">
        <x:v>Gant à Bombacide</x:v>
      </x:c>
      <x:c r="B29" s="55" t="str">
        <x:v>bombglove</x:v>
      </x:c>
      <x:c r="C29" s="55" t="n">
        <x:v>8</x:v>
      </x:c>
      <x:c r="D29" s="55" t="str">
        <x:v>093E686Ch</x:v>
      </x:c>
      <x:c r="E29" s="55" t="str">
        <x:v>Niveau maximum</x:v>
      </x:c>
      <x:c r="F29" s="55" t="str">
        <x:v>—</x:v>
      </x:c>
      <x:c r="G29" s="58" t="n">
        <x:v>0</x:v>
      </x:c>
      <x:c r="H29" s="58" t="n">
        <x:v>0</x:v>
      </x:c>
      <x:c r="I29" s="58" t="n">
        <x:v>275</x:v>
      </x:c>
      <x:c r="J29" s="58" t="n">
        <x:v>8</x:v>
      </x:c>
      <x:c r="K29" s="58" t="n">
        <x:v>1</x:v>
      </x:c>
      <x:c r="L29" s="55" t="n">
        <x:v>4</x:v>
      </x:c>
      <x:c r="M29" s="55" t="str">
        <x:v>718 / 719 / 817</x:v>
      </x:c>
      <x:c r="N29" s="55" t="str">
        <x:v>Élevée</x:v>
      </x:c>
    </x:row>
    <x:row r="30">
      <x:c r="A30" s="55" t="str">
        <x:v>Agents Ravageurs</x:v>
      </x:c>
      <x:c r="B30" s="55" t="str">
        <x:v>agentsglove</x:v>
      </x:c>
      <x:c r="C30" s="55" t="n">
        <x:v>1</x:v>
      </x:c>
      <x:c r="D30" s="55" t="str">
        <x:v>093E68F4h</x:v>
      </x:c>
      <x:c r="E30" s="55" t="str">
        <x:v>V1 → V2</x:v>
      </x:c>
      <x:c r="F30" s="55" t="str">
        <x:v>Achat initial</x:v>
      </x:c>
      <x:c r="G30" s="58" t="n">
        <x:v>25000</x:v>
      </x:c>
      <x:c r="H30" s="58" t="n">
        <x:v>6000</x:v>
      </x:c>
      <x:c r="I30" s="58" t="n">
        <x:v>100</x:v>
      </x:c>
      <x:c r="J30" s="58" t="n">
        <x:v>6</x:v>
      </x:c>
      <x:c r="K30" s="58" t="n">
        <x:v>1</x:v>
      </x:c>
      <x:c r="L30" s="55" t="n">
        <x:v>4</x:v>
      </x:c>
      <x:c r="M30" s="55" t="str">
        <x:v>720 / 721 / 818</x:v>
      </x:c>
      <x:c r="N30" s="55" t="str">
        <x:v>Élevée</x:v>
      </x:c>
    </x:row>
    <x:row r="31">
      <x:c r="A31" s="55" t="str">
        <x:v>Agents Ravageurs</x:v>
      </x:c>
      <x:c r="B31" s="55" t="str">
        <x:v>agentsglove</x:v>
      </x:c>
      <x:c r="C31" s="55" t="n">
        <x:v>2</x:v>
      </x:c>
      <x:c r="D31" s="55" t="str">
        <x:v>093E6944h</x:v>
      </x:c>
      <x:c r="E31" s="55" t="str">
        <x:v>V2 → V3</x:v>
      </x:c>
      <x:c r="F31" s="55" t="str">
        <x:v>—</x:v>
      </x:c>
      <x:c r="G31" s="58" t="n">
        <x:v>0</x:v>
      </x:c>
      <x:c r="H31" s="58" t="n">
        <x:v>9000</x:v>
      </x:c>
      <x:c r="I31" s="58" t="n">
        <x:v>100</x:v>
      </x:c>
      <x:c r="J31" s="58" t="n">
        <x:v>8</x:v>
      </x:c>
      <x:c r="K31" s="58" t="n">
        <x:v>1</x:v>
      </x:c>
      <x:c r="L31" s="55" t="n">
        <x:v>4</x:v>
      </x:c>
      <x:c r="M31" s="55" t="str">
        <x:v>722 / 723 / 819</x:v>
      </x:c>
      <x:c r="N31" s="55" t="str">
        <x:v>Élevée</x:v>
      </x:c>
    </x:row>
    <x:row r="32">
      <x:c r="A32" s="55" t="str">
        <x:v>Agents Ravageurs</x:v>
      </x:c>
      <x:c r="B32" s="55" t="str">
        <x:v>agentsglove</x:v>
      </x:c>
      <x:c r="C32" s="55" t="n">
        <x:v>3</x:v>
      </x:c>
      <x:c r="D32" s="55" t="str">
        <x:v>093E6994h</x:v>
      </x:c>
      <x:c r="E32" s="55" t="str">
        <x:v>V3 → V4</x:v>
      </x:c>
      <x:c r="F32" s="55" t="str">
        <x:v>—</x:v>
      </x:c>
      <x:c r="G32" s="58" t="n">
        <x:v>0</x:v>
      </x:c>
      <x:c r="H32" s="58" t="n">
        <x:v>12000</x:v>
      </x:c>
      <x:c r="I32" s="58" t="n">
        <x:v>100</x:v>
      </x:c>
      <x:c r="J32" s="58" t="n">
        <x:v>10</x:v>
      </x:c>
      <x:c r="K32" s="58" t="n">
        <x:v>1</x:v>
      </x:c>
      <x:c r="L32" s="55" t="n">
        <x:v>4</x:v>
      </x:c>
      <x:c r="M32" s="55" t="str">
        <x:v>724 / 725 / 820</x:v>
      </x:c>
      <x:c r="N32" s="55" t="str">
        <x:v>Élevée</x:v>
      </x:c>
    </x:row>
    <x:row r="33">
      <x:c r="A33" s="55" t="str">
        <x:v>Agents Ravageurs</x:v>
      </x:c>
      <x:c r="B33" s="55" t="str">
        <x:v>agentsglove</x:v>
      </x:c>
      <x:c r="C33" s="55" t="n">
        <x:v>4</x:v>
      </x:c>
      <x:c r="D33" s="55" t="str">
        <x:v>093E69E4h</x:v>
      </x:c>
      <x:c r="E33" s="55" t="str">
        <x:v>V4 → V5 (Titan)</x:v>
      </x:c>
      <x:c r="F33" s="55" t="str">
        <x:v>Achat Titan</x:v>
      </x:c>
      <x:c r="G33" s="58" t="n">
        <x:v>250000</x:v>
      </x:c>
      <x:c r="H33" s="58" t="n">
        <x:v>0</x:v>
      </x:c>
      <x:c r="I33" s="58" t="n">
        <x:v>100</x:v>
      </x:c>
      <x:c r="J33" s="58" t="n">
        <x:v>10</x:v>
      </x:c>
      <x:c r="K33" s="58" t="n">
        <x:v>2</x:v>
      </x:c>
      <x:c r="L33" s="55" t="n">
        <x:v>4</x:v>
      </x:c>
      <x:c r="M33" s="55" t="str">
        <x:v>726 / 727 / 821</x:v>
      </x:c>
      <x:c r="N33" s="55" t="str">
        <x:v>Élevée</x:v>
      </x:c>
    </x:row>
    <x:row r="34">
      <x:c r="A34" s="55" t="str">
        <x:v>Agents Ravageurs</x:v>
      </x:c>
      <x:c r="B34" s="55" t="str">
        <x:v>agentsglove</x:v>
      </x:c>
      <x:c r="C34" s="55" t="n">
        <x:v>5</x:v>
      </x:c>
      <x:c r="D34" s="55" t="str">
        <x:v>093E6A34h</x:v>
      </x:c>
      <x:c r="E34" s="55" t="str">
        <x:v>V5 → V6</x:v>
      </x:c>
      <x:c r="F34" s="55" t="str">
        <x:v>—</x:v>
      </x:c>
      <x:c r="G34" s="58" t="n">
        <x:v>0</x:v>
      </x:c>
      <x:c r="H34" s="58" t="n">
        <x:v>27000</x:v>
      </x:c>
      <x:c r="I34" s="58" t="n">
        <x:v>500</x:v>
      </x:c>
      <x:c r="J34" s="58" t="n">
        <x:v>10</x:v>
      </x:c>
      <x:c r="K34" s="58" t="n">
        <x:v>2</x:v>
      </x:c>
      <x:c r="L34" s="55" t="n">
        <x:v>4</x:v>
      </x:c>
      <x:c r="M34" s="55" t="str">
        <x:v>726 / 727 / 821</x:v>
      </x:c>
      <x:c r="N34" s="55" t="str">
        <x:v>Élevée</x:v>
      </x:c>
    </x:row>
    <x:row r="35">
      <x:c r="A35" s="55" t="str">
        <x:v>Agents Ravageurs</x:v>
      </x:c>
      <x:c r="B35" s="55" t="str">
        <x:v>agentsglove</x:v>
      </x:c>
      <x:c r="C35" s="55" t="n">
        <x:v>6</x:v>
      </x:c>
      <x:c r="D35" s="55" t="str">
        <x:v>093E6A84h</x:v>
      </x:c>
      <x:c r="E35" s="55" t="str">
        <x:v>V6 → V7</x:v>
      </x:c>
      <x:c r="F35" s="55" t="str">
        <x:v>—</x:v>
      </x:c>
      <x:c r="G35" s="58" t="n">
        <x:v>0</x:v>
      </x:c>
      <x:c r="H35" s="58" t="n">
        <x:v>100000</x:v>
      </x:c>
      <x:c r="I35" s="58" t="n">
        <x:v>500</x:v>
      </x:c>
      <x:c r="J35" s="58" t="n">
        <x:v>10</x:v>
      </x:c>
      <x:c r="K35" s="58" t="n">
        <x:v>2</x:v>
      </x:c>
      <x:c r="L35" s="55" t="n">
        <x:v>4</x:v>
      </x:c>
      <x:c r="M35" s="55" t="str">
        <x:v>726 / 727 / 821</x:v>
      </x:c>
      <x:c r="N35" s="55" t="str">
        <x:v>Élevée</x:v>
      </x:c>
    </x:row>
    <x:row r="36">
      <x:c r="A36" s="55" t="str">
        <x:v>Agents Ravageurs</x:v>
      </x:c>
      <x:c r="B36" s="55" t="str">
        <x:v>agentsglove</x:v>
      </x:c>
      <x:c r="C36" s="55" t="n">
        <x:v>7</x:v>
      </x:c>
      <x:c r="D36" s="55" t="str">
        <x:v>093E6AD4h</x:v>
      </x:c>
      <x:c r="E36" s="55" t="str">
        <x:v>V7 → V8</x:v>
      </x:c>
      <x:c r="F36" s="55" t="str">
        <x:v>—</x:v>
      </x:c>
      <x:c r="G36" s="58" t="n">
        <x:v>0</x:v>
      </x:c>
      <x:c r="H36" s="58" t="n">
        <x:v>250000</x:v>
      </x:c>
      <x:c r="I36" s="58" t="n">
        <x:v>500</x:v>
      </x:c>
      <x:c r="J36" s="58" t="n">
        <x:v>10</x:v>
      </x:c>
      <x:c r="K36" s="58" t="n">
        <x:v>2</x:v>
      </x:c>
      <x:c r="L36" s="55" t="n">
        <x:v>4</x:v>
      </x:c>
      <x:c r="M36" s="55" t="str">
        <x:v>726 / 727 / 821</x:v>
      </x:c>
      <x:c r="N36" s="55" t="str">
        <x:v>Élevée</x:v>
      </x:c>
    </x:row>
    <x:row r="37">
      <x:c r="A37" s="55" t="str">
        <x:v>Agents Ravageurs</x:v>
      </x:c>
      <x:c r="B37" s="55" t="str">
        <x:v>agentsglove</x:v>
      </x:c>
      <x:c r="C37" s="55" t="n">
        <x:v>8</x:v>
      </x:c>
      <x:c r="D37" s="55" t="str">
        <x:v>093E6B24h</x:v>
      </x:c>
      <x:c r="E37" s="55" t="str">
        <x:v>Niveau maximum</x:v>
      </x:c>
      <x:c r="F37" s="55" t="str">
        <x:v>—</x:v>
      </x:c>
      <x:c r="G37" s="58" t="n">
        <x:v>0</x:v>
      </x:c>
      <x:c r="H37" s="58" t="n">
        <x:v>0</x:v>
      </x:c>
      <x:c r="I37" s="58" t="n">
        <x:v>500</x:v>
      </x:c>
      <x:c r="J37" s="58" t="n">
        <x:v>10</x:v>
      </x:c>
      <x:c r="K37" s="58" t="n">
        <x:v>2</x:v>
      </x:c>
      <x:c r="L37" s="55" t="n">
        <x:v>4</x:v>
      </x:c>
      <x:c r="M37" s="55" t="str">
        <x:v>726 / 727 / 821</x:v>
      </x:c>
      <x:c r="N37" s="55" t="str">
        <x:v>Élevée</x:v>
      </x:c>
    </x:row>
    <x:row r="38">
      <x:c r="A38" s="55" t="str">
        <x:v>Gant Mine Abeille</x:v>
      </x:c>
      <x:c r="B38" s="55" t="str">
        <x:v>beemineglove</x:v>
      </x:c>
      <x:c r="C38" s="55" t="n">
        <x:v>1</x:v>
      </x:c>
      <x:c r="D38" s="55" t="str">
        <x:v>093E6BACh</x:v>
      </x:c>
      <x:c r="E38" s="55" t="str">
        <x:v>V1 → V2</x:v>
      </x:c>
      <x:c r="F38" s="55" t="str">
        <x:v>Achat initial</x:v>
      </x:c>
      <x:c r="G38" s="58" t="n">
        <x:v>50000</x:v>
      </x:c>
      <x:c r="H38" s="58" t="n">
        <x:v>6000</x:v>
      </x:c>
      <x:c r="I38" s="58" t="n">
        <x:v>50</x:v>
      </x:c>
      <x:c r="J38" s="58" t="n">
        <x:v>8</x:v>
      </x:c>
      <x:c r="K38" s="58" t="n">
        <x:v>2</x:v>
      </x:c>
      <x:c r="L38" s="55" t="n">
        <x:v>4</x:v>
      </x:c>
      <x:c r="M38" s="55" t="str">
        <x:v>744 / 745 / 830</x:v>
      </x:c>
      <x:c r="N38" s="55" t="str">
        <x:v>Élevée</x:v>
      </x:c>
    </x:row>
    <x:row r="39">
      <x:c r="A39" s="55" t="str">
        <x:v>Gant Mine Abeille</x:v>
      </x:c>
      <x:c r="B39" s="55" t="str">
        <x:v>beemineglove</x:v>
      </x:c>
      <x:c r="C39" s="55" t="n">
        <x:v>2</x:v>
      </x:c>
      <x:c r="D39" s="55" t="str">
        <x:v>093E6BFCh</x:v>
      </x:c>
      <x:c r="E39" s="55" t="str">
        <x:v>V2 → V3</x:v>
      </x:c>
      <x:c r="F39" s="55" t="str">
        <x:v>—</x:v>
      </x:c>
      <x:c r="G39" s="58" t="n">
        <x:v>0</x:v>
      </x:c>
      <x:c r="H39" s="58" t="n">
        <x:v>7500</x:v>
      </x:c>
      <x:c r="I39" s="58" t="n">
        <x:v>50</x:v>
      </x:c>
      <x:c r="J39" s="58" t="n">
        <x:v>8</x:v>
      </x:c>
      <x:c r="K39" s="58" t="n">
        <x:v>2</x:v>
      </x:c>
      <x:c r="L39" s="55" t="n">
        <x:v>4</x:v>
      </x:c>
      <x:c r="M39" s="55" t="str">
        <x:v>746 / 747 / 831</x:v>
      </x:c>
      <x:c r="N39" s="55" t="str">
        <x:v>Élevée</x:v>
      </x:c>
    </x:row>
    <x:row r="40">
      <x:c r="A40" s="55" t="str">
        <x:v>Gant Mine Abeille</x:v>
      </x:c>
      <x:c r="B40" s="55" t="str">
        <x:v>beemineglove</x:v>
      </x:c>
      <x:c r="C40" s="55" t="n">
        <x:v>3</x:v>
      </x:c>
      <x:c r="D40" s="55" t="str">
        <x:v>093E6C4Ch</x:v>
      </x:c>
      <x:c r="E40" s="55" t="str">
        <x:v>V3 → V4</x:v>
      </x:c>
      <x:c r="F40" s="55" t="str">
        <x:v>—</x:v>
      </x:c>
      <x:c r="G40" s="58" t="n">
        <x:v>0</x:v>
      </x:c>
      <x:c r="H40" s="58" t="n">
        <x:v>9000</x:v>
      </x:c>
      <x:c r="I40" s="58" t="n">
        <x:v>50</x:v>
      </x:c>
      <x:c r="J40" s="58" t="n">
        <x:v>8</x:v>
      </x:c>
      <x:c r="K40" s="58" t="n">
        <x:v>2</x:v>
      </x:c>
      <x:c r="L40" s="55" t="n">
        <x:v>4</x:v>
      </x:c>
      <x:c r="M40" s="55" t="str">
        <x:v>748 / 749 / 832</x:v>
      </x:c>
      <x:c r="N40" s="55" t="str">
        <x:v>Élevée</x:v>
      </x:c>
    </x:row>
    <x:row r="41">
      <x:c r="A41" s="55" t="str">
        <x:v>Gant Mine Abeille</x:v>
      </x:c>
      <x:c r="B41" s="55" t="str">
        <x:v>beemineglove</x:v>
      </x:c>
      <x:c r="C41" s="55" t="n">
        <x:v>4</x:v>
      </x:c>
      <x:c r="D41" s="55" t="str">
        <x:v>093E6C9Ch</x:v>
      </x:c>
      <x:c r="E41" s="55" t="str">
        <x:v>V4 → V5 (Titan)</x:v>
      </x:c>
      <x:c r="F41" s="55" t="str">
        <x:v>Achat Titan</x:v>
      </x:c>
      <x:c r="G41" s="58" t="n">
        <x:v>250000</x:v>
      </x:c>
      <x:c r="H41" s="58" t="n">
        <x:v>0</x:v>
      </x:c>
      <x:c r="I41" s="58" t="n">
        <x:v>50</x:v>
      </x:c>
      <x:c r="J41" s="58" t="n">
        <x:v>8</x:v>
      </x:c>
      <x:c r="K41" s="58" t="n">
        <x:v>2</x:v>
      </x:c>
      <x:c r="L41" s="55" t="n">
        <x:v>4</x:v>
      </x:c>
      <x:c r="M41" s="55" t="str">
        <x:v>750 / 751 / 833</x:v>
      </x:c>
      <x:c r="N41" s="55" t="str">
        <x:v>Élevée</x:v>
      </x:c>
    </x:row>
    <x:row r="42">
      <x:c r="A42" s="55" t="str">
        <x:v>Gant Mine Abeille</x:v>
      </x:c>
      <x:c r="B42" s="55" t="str">
        <x:v>beemineglove</x:v>
      </x:c>
      <x:c r="C42" s="55" t="n">
        <x:v>5</x:v>
      </x:c>
      <x:c r="D42" s="55" t="str">
        <x:v>093E6CECh</x:v>
      </x:c>
      <x:c r="E42" s="55" t="str">
        <x:v>V5 → V6</x:v>
      </x:c>
      <x:c r="F42" s="55" t="str">
        <x:v>—</x:v>
      </x:c>
      <x:c r="G42" s="58" t="n">
        <x:v>0</x:v>
      </x:c>
      <x:c r="H42" s="58" t="n">
        <x:v>50000</x:v>
      </x:c>
      <x:c r="I42" s="58" t="n">
        <x:v>300</x:v>
      </x:c>
      <x:c r="J42" s="58" t="n">
        <x:v>8</x:v>
      </x:c>
      <x:c r="K42" s="58" t="n">
        <x:v>2</x:v>
      </x:c>
      <x:c r="L42" s="55" t="n">
        <x:v>4</x:v>
      </x:c>
      <x:c r="M42" s="55" t="str">
        <x:v>750 / 751 / 833</x:v>
      </x:c>
      <x:c r="N42" s="55" t="str">
        <x:v>Élevée</x:v>
      </x:c>
    </x:row>
    <x:row r="43">
      <x:c r="A43" s="55" t="str">
        <x:v>Gant Mine Abeille</x:v>
      </x:c>
      <x:c r="B43" s="55" t="str">
        <x:v>beemineglove</x:v>
      </x:c>
      <x:c r="C43" s="55" t="n">
        <x:v>6</x:v>
      </x:c>
      <x:c r="D43" s="55" t="str">
        <x:v>093E6D3Ch</x:v>
      </x:c>
      <x:c r="E43" s="55" t="str">
        <x:v>V6 → V7</x:v>
      </x:c>
      <x:c r="F43" s="55" t="str">
        <x:v>—</x:v>
      </x:c>
      <x:c r="G43" s="58" t="n">
        <x:v>0</x:v>
      </x:c>
      <x:c r="H43" s="58" t="n">
        <x:v>142000</x:v>
      </x:c>
      <x:c r="I43" s="58" t="n">
        <x:v>300</x:v>
      </x:c>
      <x:c r="J43" s="58" t="n">
        <x:v>8</x:v>
      </x:c>
      <x:c r="K43" s="58" t="n">
        <x:v>2</x:v>
      </x:c>
      <x:c r="L43" s="55" t="n">
        <x:v>4</x:v>
      </x:c>
      <x:c r="M43" s="55" t="str">
        <x:v>750 / 751 / 833</x:v>
      </x:c>
      <x:c r="N43" s="55" t="str">
        <x:v>Élevée</x:v>
      </x:c>
    </x:row>
    <x:row r="44">
      <x:c r="A44" s="55" t="str">
        <x:v>Gant Mine Abeille</x:v>
      </x:c>
      <x:c r="B44" s="55" t="str">
        <x:v>beemineglove</x:v>
      </x:c>
      <x:c r="C44" s="55" t="n">
        <x:v>7</x:v>
      </x:c>
      <x:c r="D44" s="55" t="str">
        <x:v>093E6D8Ch</x:v>
      </x:c>
      <x:c r="E44" s="55" t="str">
        <x:v>V7 → V8</x:v>
      </x:c>
      <x:c r="F44" s="55" t="str">
        <x:v>—</x:v>
      </x:c>
      <x:c r="G44" s="58" t="n">
        <x:v>0</x:v>
      </x:c>
      <x:c r="H44" s="58" t="n">
        <x:v>225000</x:v>
      </x:c>
      <x:c r="I44" s="58" t="n">
        <x:v>300</x:v>
      </x:c>
      <x:c r="J44" s="58" t="n">
        <x:v>10</x:v>
      </x:c>
      <x:c r="K44" s="58" t="n">
        <x:v>2</x:v>
      </x:c>
      <x:c r="L44" s="55" t="n">
        <x:v>4</x:v>
      </x:c>
      <x:c r="M44" s="55" t="str">
        <x:v>750 / 751 / 833</x:v>
      </x:c>
      <x:c r="N44" s="55" t="str">
        <x:v>Élevée</x:v>
      </x:c>
    </x:row>
    <x:row r="45">
      <x:c r="A45" s="55" t="str">
        <x:v>Gant Mine Abeille</x:v>
      </x:c>
      <x:c r="B45" s="55" t="str">
        <x:v>beemineglove</x:v>
      </x:c>
      <x:c r="C45" s="55" t="n">
        <x:v>8</x:v>
      </x:c>
      <x:c r="D45" s="55" t="str">
        <x:v>093E6DDCh</x:v>
      </x:c>
      <x:c r="E45" s="55" t="str">
        <x:v>Niveau maximum</x:v>
      </x:c>
      <x:c r="F45" s="55" t="str">
        <x:v>—</x:v>
      </x:c>
      <x:c r="G45" s="58" t="n">
        <x:v>0</x:v>
      </x:c>
      <x:c r="H45" s="58" t="n">
        <x:v>0</x:v>
      </x:c>
      <x:c r="I45" s="58" t="n">
        <x:v>300</x:v>
      </x:c>
      <x:c r="J45" s="58" t="n">
        <x:v>12</x:v>
      </x:c>
      <x:c r="K45" s="58" t="n">
        <x:v>2</x:v>
      </x:c>
      <x:c r="L45" s="55" t="n">
        <x:v>4</x:v>
      </x:c>
      <x:c r="M45" s="55" t="str">
        <x:v>750 / 751 / 833</x:v>
      </x:c>
      <x:c r="N45" s="55" t="str">
        <x:v>Élevée</x:v>
      </x:c>
    </x:row>
    <x:row r="46">
      <x:c r="A46" s="55" t="str">
        <x:v>Barrière Statique</x:v>
      </x:c>
      <x:c r="B46" s="55" t="str">
        <x:v>shieldcharger</x:v>
      </x:c>
      <x:c r="C46" s="55" t="n">
        <x:v>1</x:v>
      </x:c>
      <x:c r="D46" s="55" t="str">
        <x:v>093E711Ch</x:v>
      </x:c>
      <x:c r="E46" s="55" t="str">
        <x:v>V1 → V2</x:v>
      </x:c>
      <x:c r="F46" s="55" t="str">
        <x:v>Achat initial</x:v>
      </x:c>
      <x:c r="G46" s="58" t="n">
        <x:v>65000</x:v>
      </x:c>
      <x:c r="H46" s="58" t="n">
        <x:v>15000</x:v>
      </x:c>
      <x:c r="I46" s="58" t="n">
        <x:v>200</x:v>
      </x:c>
      <x:c r="J46" s="58" t="n">
        <x:v>5</x:v>
      </x:c>
      <x:c r="K46" s="58" t="n">
        <x:v>0</x:v>
      </x:c>
      <x:c r="L46" s="55" t="n">
        <x:v>2</x:v>
      </x:c>
      <x:c r="M46" s="55" t="str">
        <x:v>752 / 753 / 834</x:v>
      </x:c>
      <x:c r="N46" s="55" t="str">
        <x:v>Élevée</x:v>
      </x:c>
    </x:row>
    <x:row r="47">
      <x:c r="A47" s="55" t="str">
        <x:v>Barrière Statique</x:v>
      </x:c>
      <x:c r="B47" s="55" t="str">
        <x:v>shieldcharger</x:v>
      </x:c>
      <x:c r="C47" s="55" t="n">
        <x:v>2</x:v>
      </x:c>
      <x:c r="D47" s="55" t="str">
        <x:v>093E716Ch</x:v>
      </x:c>
      <x:c r="E47" s="55" t="str">
        <x:v>V2 → V3</x:v>
      </x:c>
      <x:c r="F47" s="55" t="str">
        <x:v>—</x:v>
      </x:c>
      <x:c r="G47" s="58" t="n">
        <x:v>0</x:v>
      </x:c>
      <x:c r="H47" s="58" t="n">
        <x:v>18000</x:v>
      </x:c>
      <x:c r="I47" s="58" t="n">
        <x:v>200</x:v>
      </x:c>
      <x:c r="J47" s="58" t="n">
        <x:v>5</x:v>
      </x:c>
      <x:c r="K47" s="58" t="n">
        <x:v>0</x:v>
      </x:c>
      <x:c r="L47" s="55" t="n">
        <x:v>2</x:v>
      </x:c>
      <x:c r="M47" s="55" t="str">
        <x:v>754 / 755 / 835</x:v>
      </x:c>
      <x:c r="N47" s="55" t="str">
        <x:v>Élevée</x:v>
      </x:c>
    </x:row>
    <x:row r="48">
      <x:c r="A48" s="55" t="str">
        <x:v>Barrière Statique</x:v>
      </x:c>
      <x:c r="B48" s="55" t="str">
        <x:v>shieldcharger</x:v>
      </x:c>
      <x:c r="C48" s="55" t="n">
        <x:v>3</x:v>
      </x:c>
      <x:c r="D48" s="55" t="str">
        <x:v>093E71BCh</x:v>
      </x:c>
      <x:c r="E48" s="55" t="str">
        <x:v>V3 → V4</x:v>
      </x:c>
      <x:c r="F48" s="55" t="str">
        <x:v>—</x:v>
      </x:c>
      <x:c r="G48" s="58" t="n">
        <x:v>0</x:v>
      </x:c>
      <x:c r="H48" s="58" t="n">
        <x:v>21000</x:v>
      </x:c>
      <x:c r="I48" s="58" t="n">
        <x:v>200</x:v>
      </x:c>
      <x:c r="J48" s="58" t="n">
        <x:v>5</x:v>
      </x:c>
      <x:c r="K48" s="58" t="n">
        <x:v>0</x:v>
      </x:c>
      <x:c r="L48" s="55" t="n">
        <x:v>2</x:v>
      </x:c>
      <x:c r="M48" s="55" t="str">
        <x:v>756 / 757 / 836</x:v>
      </x:c>
      <x:c r="N48" s="55" t="str">
        <x:v>Élevée</x:v>
      </x:c>
    </x:row>
    <x:row r="49">
      <x:c r="A49" s="55" t="str">
        <x:v>Barrière Statique</x:v>
      </x:c>
      <x:c r="B49" s="55" t="str">
        <x:v>shieldcharger</x:v>
      </x:c>
      <x:c r="C49" s="55" t="n">
        <x:v>4</x:v>
      </x:c>
      <x:c r="D49" s="55" t="str">
        <x:v>093E720Ch</x:v>
      </x:c>
      <x:c r="E49" s="55" t="str">
        <x:v>V4 → V5 (Titan)</x:v>
      </x:c>
      <x:c r="F49" s="55" t="str">
        <x:v>Achat Titan</x:v>
      </x:c>
      <x:c r="G49" s="58" t="n">
        <x:v>2500000</x:v>
      </x:c>
      <x:c r="H49" s="58" t="n">
        <x:v>0</x:v>
      </x:c>
      <x:c r="I49" s="58" t="n">
        <x:v>5000</x:v>
      </x:c>
      <x:c r="J49" s="58" t="n">
        <x:v>5</x:v>
      </x:c>
      <x:c r="K49" s="58" t="n">
        <x:v>0</x:v>
      </x:c>
      <x:c r="L49" s="55" t="n">
        <x:v>2</x:v>
      </x:c>
      <x:c r="M49" s="55" t="str">
        <x:v>758 / 759 / 837</x:v>
      </x:c>
      <x:c r="N49" s="55" t="str">
        <x:v>Élevée</x:v>
      </x:c>
    </x:row>
    <x:row r="50">
      <x:c r="A50" s="55" t="str">
        <x:v>Barrière Statique</x:v>
      </x:c>
      <x:c r="B50" s="55" t="str">
        <x:v>shieldcharger</x:v>
      </x:c>
      <x:c r="C50" s="55" t="n">
        <x:v>5</x:v>
      </x:c>
      <x:c r="D50" s="55" t="str">
        <x:v>093E725Ch</x:v>
      </x:c>
      <x:c r="E50" s="55" t="str">
        <x:v>V5 → V6</x:v>
      </x:c>
      <x:c r="F50" s="55" t="str">
        <x:v>—</x:v>
      </x:c>
      <x:c r="G50" s="58" t="n">
        <x:v>0</x:v>
      </x:c>
      <x:c r="H50" s="58" t="n">
        <x:v>24000</x:v>
      </x:c>
      <x:c r="I50" s="58" t="n">
        <x:v>5000</x:v>
      </x:c>
      <x:c r="J50" s="58" t="n">
        <x:v>5</x:v>
      </x:c>
      <x:c r="K50" s="58" t="n">
        <x:v>0</x:v>
      </x:c>
      <x:c r="L50" s="55" t="n">
        <x:v>2</x:v>
      </x:c>
      <x:c r="M50" s="55" t="str">
        <x:v>758 / 759 / 837</x:v>
      </x:c>
      <x:c r="N50" s="55" t="str">
        <x:v>Élevée</x:v>
      </x:c>
    </x:row>
    <x:row r="51">
      <x:c r="A51" s="55" t="str">
        <x:v>Barrière Statique</x:v>
      </x:c>
      <x:c r="B51" s="55" t="str">
        <x:v>shieldcharger</x:v>
      </x:c>
      <x:c r="C51" s="55" t="n">
        <x:v>6</x:v>
      </x:c>
      <x:c r="D51" s="55" t="str">
        <x:v>093E72ACh</x:v>
      </x:c>
      <x:c r="E51" s="55" t="str">
        <x:v>V6 → V7</x:v>
      </x:c>
      <x:c r="F51" s="55" t="str">
        <x:v>—</x:v>
      </x:c>
      <x:c r="G51" s="58" t="n">
        <x:v>0</x:v>
      </x:c>
      <x:c r="H51" s="58" t="n">
        <x:v>27000</x:v>
      </x:c>
      <x:c r="I51" s="58" t="n">
        <x:v>5000</x:v>
      </x:c>
      <x:c r="J51" s="58" t="n">
        <x:v>5</x:v>
      </x:c>
      <x:c r="K51" s="58" t="n">
        <x:v>0</x:v>
      </x:c>
      <x:c r="L51" s="55" t="n">
        <x:v>2</x:v>
      </x:c>
      <x:c r="M51" s="55" t="str">
        <x:v>758 / 759 / 837</x:v>
      </x:c>
      <x:c r="N51" s="55" t="str">
        <x:v>Élevée</x:v>
      </x:c>
    </x:row>
    <x:row r="52">
      <x:c r="A52" s="55" t="str">
        <x:v>Barrière Statique</x:v>
      </x:c>
      <x:c r="B52" s="55" t="str">
        <x:v>shieldcharger</x:v>
      </x:c>
      <x:c r="C52" s="55" t="n">
        <x:v>7</x:v>
      </x:c>
      <x:c r="D52" s="55" t="str">
        <x:v>093E72FCh</x:v>
      </x:c>
      <x:c r="E52" s="55" t="str">
        <x:v>V7 → V8</x:v>
      </x:c>
      <x:c r="F52" s="55" t="str">
        <x:v>—</x:v>
      </x:c>
      <x:c r="G52" s="58" t="n">
        <x:v>0</x:v>
      </x:c>
      <x:c r="H52" s="58" t="n">
        <x:v>30000</x:v>
      </x:c>
      <x:c r="I52" s="58" t="n">
        <x:v>5000</x:v>
      </x:c>
      <x:c r="J52" s="58" t="n">
        <x:v>5</x:v>
      </x:c>
      <x:c r="K52" s="58" t="n">
        <x:v>0</x:v>
      </x:c>
      <x:c r="L52" s="55" t="n">
        <x:v>2</x:v>
      </x:c>
      <x:c r="M52" s="55" t="str">
        <x:v>758 / 759 / 837</x:v>
      </x:c>
      <x:c r="N52" s="55" t="str">
        <x:v>Élevée</x:v>
      </x:c>
    </x:row>
    <x:row r="53">
      <x:c r="A53" s="55" t="str">
        <x:v>Barrière Statique</x:v>
      </x:c>
      <x:c r="B53" s="55" t="str">
        <x:v>shieldcharger</x:v>
      </x:c>
      <x:c r="C53" s="55" t="n">
        <x:v>8</x:v>
      </x:c>
      <x:c r="D53" s="55" t="str">
        <x:v>093E734Ch</x:v>
      </x:c>
      <x:c r="E53" s="55" t="str">
        <x:v>Niveau maximum</x:v>
      </x:c>
      <x:c r="F53" s="55" t="str">
        <x:v>—</x:v>
      </x:c>
      <x:c r="G53" s="58" t="n">
        <x:v>0</x:v>
      </x:c>
      <x:c r="H53" s="58" t="n">
        <x:v>0</x:v>
      </x:c>
      <x:c r="I53" s="58" t="n">
        <x:v>5000</x:v>
      </x:c>
      <x:c r="J53" s="58" t="n">
        <x:v>5</x:v>
      </x:c>
      <x:c r="K53" s="58" t="n">
        <x:v>0</x:v>
      </x:c>
      <x:c r="L53" s="55" t="n">
        <x:v>2</x:v>
      </x:c>
      <x:c r="M53" s="55" t="str">
        <x:v>758 / 759 / 837</x:v>
      </x:c>
      <x:c r="N53" s="55" t="str">
        <x:v>Élevée</x:v>
      </x:c>
    </x:row>
    <x:row r="54">
      <x:c r="A54" s="55" t="str">
        <x:v>Roquette Éclair</x:v>
      </x:c>
      <x:c r="B54" s="55" t="str">
        <x:v>shockrocket</x:v>
      </x:c>
      <x:c r="C54" s="55" t="n">
        <x:v>1</x:v>
      </x:c>
      <x:c r="D54" s="55" t="str">
        <x:v>093E73D4h</x:v>
      </x:c>
      <x:c r="E54" s="55" t="str">
        <x:v>V1 → V2</x:v>
      </x:c>
      <x:c r="F54" s="55" t="str">
        <x:v>Achat initial</x:v>
      </x:c>
      <x:c r="G54" s="58" t="n">
        <x:v>55000</x:v>
      </x:c>
      <x:c r="H54" s="58" t="n">
        <x:v>15000</x:v>
      </x:c>
      <x:c r="I54" s="58" t="n">
        <x:v>80</x:v>
      </x:c>
      <x:c r="J54" s="58" t="n">
        <x:v>20</x:v>
      </x:c>
      <x:c r="K54" s="58" t="n">
        <x:v>4</x:v>
      </x:c>
      <x:c r="L54" s="55" t="n">
        <x:v>3</x:v>
      </x:c>
      <x:c r="M54" s="55" t="str">
        <x:v>760 / 761 / 838</x:v>
      </x:c>
      <x:c r="N54" s="55" t="str">
        <x:v>Élevée</x:v>
      </x:c>
    </x:row>
    <x:row r="55">
      <x:c r="A55" s="55" t="str">
        <x:v>Roquette Éclair</x:v>
      </x:c>
      <x:c r="B55" s="55" t="str">
        <x:v>shockrocket</x:v>
      </x:c>
      <x:c r="C55" s="55" t="n">
        <x:v>2</x:v>
      </x:c>
      <x:c r="D55" s="55" t="str">
        <x:v>093E7424h</x:v>
      </x:c>
      <x:c r="E55" s="55" t="str">
        <x:v>V2 → V3</x:v>
      </x:c>
      <x:c r="F55" s="55" t="str">
        <x:v>—</x:v>
      </x:c>
      <x:c r="G55" s="58" t="n">
        <x:v>0</x:v>
      </x:c>
      <x:c r="H55" s="58" t="n">
        <x:v>19000</x:v>
      </x:c>
      <x:c r="I55" s="58" t="n">
        <x:v>80</x:v>
      </x:c>
      <x:c r="J55" s="58" t="n">
        <x:v>20</x:v>
      </x:c>
      <x:c r="K55" s="58" t="n">
        <x:v>4</x:v>
      </x:c>
      <x:c r="L55" s="55" t="n">
        <x:v>3</x:v>
      </x:c>
      <x:c r="M55" s="55" t="str">
        <x:v>762 / 763 / 839</x:v>
      </x:c>
      <x:c r="N55" s="55" t="str">
        <x:v>Élevée</x:v>
      </x:c>
    </x:row>
    <x:row r="56">
      <x:c r="A56" s="55" t="str">
        <x:v>Roquette Éclair</x:v>
      </x:c>
      <x:c r="B56" s="55" t="str">
        <x:v>shockrocket</x:v>
      </x:c>
      <x:c r="C56" s="55" t="n">
        <x:v>3</x:v>
      </x:c>
      <x:c r="D56" s="55" t="str">
        <x:v>093E7474h</x:v>
      </x:c>
      <x:c r="E56" s="55" t="str">
        <x:v>V3 → V4</x:v>
      </x:c>
      <x:c r="F56" s="55" t="str">
        <x:v>—</x:v>
      </x:c>
      <x:c r="G56" s="58" t="n">
        <x:v>0</x:v>
      </x:c>
      <x:c r="H56" s="58" t="n">
        <x:v>42000</x:v>
      </x:c>
      <x:c r="I56" s="58" t="n">
        <x:v>80</x:v>
      </x:c>
      <x:c r="J56" s="58" t="n">
        <x:v>22</x:v>
      </x:c>
      <x:c r="K56" s="58" t="n">
        <x:v>4</x:v>
      </x:c>
      <x:c r="L56" s="55" t="n">
        <x:v>3</x:v>
      </x:c>
      <x:c r="M56" s="55" t="str">
        <x:v>764 / 765 / 840</x:v>
      </x:c>
      <x:c r="N56" s="55" t="str">
        <x:v>Élevée</x:v>
      </x:c>
    </x:row>
    <x:row r="57">
      <x:c r="A57" s="55" t="str">
        <x:v>Roquette Éclair</x:v>
      </x:c>
      <x:c r="B57" s="55" t="str">
        <x:v>shockrocket</x:v>
      </x:c>
      <x:c r="C57" s="55" t="n">
        <x:v>4</x:v>
      </x:c>
      <x:c r="D57" s="55" t="str">
        <x:v>093E74C4h</x:v>
      </x:c>
      <x:c r="E57" s="55" t="str">
        <x:v>V4 → V5 (Titan)</x:v>
      </x:c>
      <x:c r="F57" s="55" t="str">
        <x:v>Achat Titan</x:v>
      </x:c>
      <x:c r="G57" s="58" t="n">
        <x:v>1250000</x:v>
      </x:c>
      <x:c r="H57" s="58" t="n">
        <x:v>0</x:v>
      </x:c>
      <x:c r="I57" s="58" t="n">
        <x:v>80</x:v>
      </x:c>
      <x:c r="J57" s="58" t="n">
        <x:v>22</x:v>
      </x:c>
      <x:c r="K57" s="58" t="n">
        <x:v>4</x:v>
      </x:c>
      <x:c r="L57" s="55" t="n">
        <x:v>3</x:v>
      </x:c>
      <x:c r="M57" s="55" t="str">
        <x:v>766 / 767 / 841</x:v>
      </x:c>
      <x:c r="N57" s="55" t="str">
        <x:v>Élevée</x:v>
      </x:c>
    </x:row>
    <x:row r="58">
      <x:c r="A58" s="55" t="str">
        <x:v>Roquette Éclair</x:v>
      </x:c>
      <x:c r="B58" s="55" t="str">
        <x:v>shockrocket</x:v>
      </x:c>
      <x:c r="C58" s="55" t="n">
        <x:v>5</x:v>
      </x:c>
      <x:c r="D58" s="55" t="str">
        <x:v>093E7514h</x:v>
      </x:c>
      <x:c r="E58" s="55" t="str">
        <x:v>V5 → V6</x:v>
      </x:c>
      <x:c r="F58" s="55" t="str">
        <x:v>—</x:v>
      </x:c>
      <x:c r="G58" s="58" t="n">
        <x:v>0</x:v>
      </x:c>
      <x:c r="H58" s="58" t="n">
        <x:v>60000</x:v>
      </x:c>
      <x:c r="I58" s="58" t="n">
        <x:v>1000</x:v>
      </x:c>
      <x:c r="J58" s="58" t="n">
        <x:v>18</x:v>
      </x:c>
      <x:c r="K58" s="58" t="n">
        <x:v>4</x:v>
      </x:c>
      <x:c r="L58" s="55" t="n">
        <x:v>3</x:v>
      </x:c>
      <x:c r="M58" s="55" t="str">
        <x:v>766 / 767 / 841</x:v>
      </x:c>
      <x:c r="N58" s="55" t="str">
        <x:v>Élevée</x:v>
      </x:c>
    </x:row>
    <x:row r="59">
      <x:c r="A59" s="55" t="str">
        <x:v>Roquette Éclair</x:v>
      </x:c>
      <x:c r="B59" s="55" t="str">
        <x:v>shockrocket</x:v>
      </x:c>
      <x:c r="C59" s="55" t="n">
        <x:v>6</x:v>
      </x:c>
      <x:c r="D59" s="55" t="str">
        <x:v>093E7564h</x:v>
      </x:c>
      <x:c r="E59" s="55" t="str">
        <x:v>V6 → V7</x:v>
      </x:c>
      <x:c r="F59" s="55" t="str">
        <x:v>—</x:v>
      </x:c>
      <x:c r="G59" s="58" t="n">
        <x:v>0</x:v>
      </x:c>
      <x:c r="H59" s="58" t="n">
        <x:v>145000</x:v>
      </x:c>
      <x:c r="I59" s="58" t="n">
        <x:v>1000</x:v>
      </x:c>
      <x:c r="J59" s="58" t="n">
        <x:v>20</x:v>
      </x:c>
      <x:c r="K59" s="58" t="n">
        <x:v>4</x:v>
      </x:c>
      <x:c r="L59" s="55" t="n">
        <x:v>3</x:v>
      </x:c>
      <x:c r="M59" s="55" t="str">
        <x:v>766 / 767 / 841</x:v>
      </x:c>
      <x:c r="N59" s="55" t="str">
        <x:v>Élevée</x:v>
      </x:c>
    </x:row>
    <x:row r="60">
      <x:c r="A60" s="55" t="str">
        <x:v>Roquette Éclair</x:v>
      </x:c>
      <x:c r="B60" s="55" t="str">
        <x:v>shockrocket</x:v>
      </x:c>
      <x:c r="C60" s="55" t="n">
        <x:v>7</x:v>
      </x:c>
      <x:c r="D60" s="55" t="str">
        <x:v>093E75B4h</x:v>
      </x:c>
      <x:c r="E60" s="55" t="str">
        <x:v>V7 → V8</x:v>
      </x:c>
      <x:c r="F60" s="55" t="str">
        <x:v>—</x:v>
      </x:c>
      <x:c r="G60" s="58" t="n">
        <x:v>0</x:v>
      </x:c>
      <x:c r="H60" s="58" t="n">
        <x:v>250000</x:v>
      </x:c>
      <x:c r="I60" s="58" t="n">
        <x:v>1000</x:v>
      </x:c>
      <x:c r="J60" s="58" t="n">
        <x:v>22</x:v>
      </x:c>
      <x:c r="K60" s="58" t="n">
        <x:v>4</x:v>
      </x:c>
      <x:c r="L60" s="55" t="n">
        <x:v>3</x:v>
      </x:c>
      <x:c r="M60" s="55" t="str">
        <x:v>766 / 767 / 841</x:v>
      </x:c>
      <x:c r="N60" s="55" t="str">
        <x:v>Élevée</x:v>
      </x:c>
    </x:row>
    <x:row r="61">
      <x:c r="A61" s="55" t="str">
        <x:v>Roquette Éclair</x:v>
      </x:c>
      <x:c r="B61" s="55" t="str">
        <x:v>shockrocket</x:v>
      </x:c>
      <x:c r="C61" s="55" t="n">
        <x:v>8</x:v>
      </x:c>
      <x:c r="D61" s="55" t="str">
        <x:v>093E7604h</x:v>
      </x:c>
      <x:c r="E61" s="55" t="str">
        <x:v>Niveau maximum</x:v>
      </x:c>
      <x:c r="F61" s="55" t="str">
        <x:v>—</x:v>
      </x:c>
      <x:c r="G61" s="58" t="n">
        <x:v>0</x:v>
      </x:c>
      <x:c r="H61" s="58" t="n">
        <x:v>0</x:v>
      </x:c>
      <x:c r="I61" s="58" t="n">
        <x:v>1000</x:v>
      </x:c>
      <x:c r="J61" s="58" t="n">
        <x:v>24</x:v>
      </x:c>
      <x:c r="K61" s="58" t="n">
        <x:v>4</x:v>
      </x:c>
      <x:c r="L61" s="55" t="n">
        <x:v>3</x:v>
      </x:c>
      <x:c r="M61" s="55" t="str">
        <x:v>766 / 767 / 841</x:v>
      </x:c>
      <x:c r="N61" s="55" t="str">
        <x:v>Élevée</x:v>
      </x:c>
    </x:row>
    <x:row r="62">
      <x:c r="A62" s="55" t="str">
        <x:v>Mine de Sniper</x:v>
      </x:c>
      <x:c r="B62" s="55" t="str">
        <x:v>crossbowgun</x:v>
      </x:c>
      <x:c r="C62" s="55" t="n">
        <x:v>1</x:v>
      </x:c>
      <x:c r="D62" s="55" t="str">
        <x:v>093E76A8h</x:v>
      </x:c>
      <x:c r="E62" s="55" t="str">
        <x:v>V1 → V2</x:v>
      </x:c>
      <x:c r="F62" s="55" t="str">
        <x:v>Achat initial</x:v>
      </x:c>
      <x:c r="G62" s="58" t="n">
        <x:v>50000</x:v>
      </x:c>
      <x:c r="H62" s="58" t="n">
        <x:v>4000</x:v>
      </x:c>
      <x:c r="I62" s="58" t="n">
        <x:v>75</x:v>
      </x:c>
      <x:c r="J62" s="58" t="n">
        <x:v>8</x:v>
      </x:c>
      <x:c r="K62" s="58" t="n">
        <x:v>2</x:v>
      </x:c>
      <x:c r="L62" s="55" t="n">
        <x:v>3</x:v>
      </x:c>
      <x:c r="M62" s="55" t="str">
        <x:v>792 / 793 / 854</x:v>
      </x:c>
      <x:c r="N62" s="55" t="str">
        <x:v>Élevée</x:v>
      </x:c>
    </x:row>
    <x:row r="63">
      <x:c r="A63" s="55" t="str">
        <x:v>Mine de Sniper</x:v>
      </x:c>
      <x:c r="B63" s="55" t="str">
        <x:v>crossbowgun</x:v>
      </x:c>
      <x:c r="C63" s="55" t="n">
        <x:v>2</x:v>
      </x:c>
      <x:c r="D63" s="55" t="str">
        <x:v>093E76F8h</x:v>
      </x:c>
      <x:c r="E63" s="55" t="str">
        <x:v>V2 → V3</x:v>
      </x:c>
      <x:c r="F63" s="55" t="str">
        <x:v>—</x:v>
      </x:c>
      <x:c r="G63" s="58" t="n">
        <x:v>0</x:v>
      </x:c>
      <x:c r="H63" s="58" t="n">
        <x:v>5500</x:v>
      </x:c>
      <x:c r="I63" s="58" t="n">
        <x:v>75</x:v>
      </x:c>
      <x:c r="J63" s="58" t="n">
        <x:v>8</x:v>
      </x:c>
      <x:c r="K63" s="58" t="n">
        <x:v>2</x:v>
      </x:c>
      <x:c r="L63" s="55" t="n">
        <x:v>3</x:v>
      </x:c>
      <x:c r="M63" s="55" t="str">
        <x:v>794 / 795 / 855</x:v>
      </x:c>
      <x:c r="N63" s="55" t="str">
        <x:v>Élevée</x:v>
      </x:c>
    </x:row>
    <x:row r="64">
      <x:c r="A64" s="55" t="str">
        <x:v>Mine de Sniper</x:v>
      </x:c>
      <x:c r="B64" s="55" t="str">
        <x:v>crossbowgun</x:v>
      </x:c>
      <x:c r="C64" s="55" t="n">
        <x:v>3</x:v>
      </x:c>
      <x:c r="D64" s="55" t="str">
        <x:v>093E7748h</x:v>
      </x:c>
      <x:c r="E64" s="55" t="str">
        <x:v>V3 → V4</x:v>
      </x:c>
      <x:c r="F64" s="55" t="str">
        <x:v>—</x:v>
      </x:c>
      <x:c r="G64" s="58" t="n">
        <x:v>0</x:v>
      </x:c>
      <x:c r="H64" s="58" t="n">
        <x:v>7000</x:v>
      </x:c>
      <x:c r="I64" s="58" t="n">
        <x:v>75</x:v>
      </x:c>
      <x:c r="J64" s="58" t="n">
        <x:v>10</x:v>
      </x:c>
      <x:c r="K64" s="58" t="n">
        <x:v>2</x:v>
      </x:c>
      <x:c r="L64" s="55" t="n">
        <x:v>3</x:v>
      </x:c>
      <x:c r="M64" s="55" t="str">
        <x:v>796 / 797 / 856</x:v>
      </x:c>
      <x:c r="N64" s="55" t="str">
        <x:v>Élevée</x:v>
      </x:c>
    </x:row>
    <x:row r="65">
      <x:c r="A65" s="55" t="str">
        <x:v>Mine de Sniper</x:v>
      </x:c>
      <x:c r="B65" s="55" t="str">
        <x:v>crossbowgun</x:v>
      </x:c>
      <x:c r="C65" s="55" t="n">
        <x:v>4</x:v>
      </x:c>
      <x:c r="D65" s="55" t="str">
        <x:v>093E7798h</x:v>
      </x:c>
      <x:c r="E65" s="55" t="str">
        <x:v>V4 → V5 (Titan)</x:v>
      </x:c>
      <x:c r="F65" s="55" t="str">
        <x:v>Achat Titan</x:v>
      </x:c>
      <x:c r="G65" s="58" t="n">
        <x:v>500000</x:v>
      </x:c>
      <x:c r="H65" s="58" t="n">
        <x:v>0</x:v>
      </x:c>
      <x:c r="I65" s="58" t="n">
        <x:v>75</x:v>
      </x:c>
      <x:c r="J65" s="58" t="n">
        <x:v>10</x:v>
      </x:c>
      <x:c r="K65" s="58" t="n">
        <x:v>2</x:v>
      </x:c>
      <x:c r="L65" s="55" t="n">
        <x:v>3</x:v>
      </x:c>
      <x:c r="M65" s="55" t="str">
        <x:v>798 / 799 / 857</x:v>
      </x:c>
      <x:c r="N65" s="55" t="str">
        <x:v>Élevée</x:v>
      </x:c>
    </x:row>
    <x:row r="66">
      <x:c r="A66" s="55" t="str">
        <x:v>Mine de Sniper</x:v>
      </x:c>
      <x:c r="B66" s="55" t="str">
        <x:v>crossbowgun</x:v>
      </x:c>
      <x:c r="C66" s="55" t="n">
        <x:v>5</x:v>
      </x:c>
      <x:c r="D66" s="55" t="str">
        <x:v>093E77E8h</x:v>
      </x:c>
      <x:c r="E66" s="55" t="str">
        <x:v>V5 → V6</x:v>
      </x:c>
      <x:c r="F66" s="55" t="str">
        <x:v>—</x:v>
      </x:c>
      <x:c r="G66" s="58" t="n">
        <x:v>0</x:v>
      </x:c>
      <x:c r="H66" s="58" t="n">
        <x:v>50000</x:v>
      </x:c>
      <x:c r="I66" s="58" t="n">
        <x:v>500</x:v>
      </x:c>
      <x:c r="J66" s="58" t="n">
        <x:v>8</x:v>
      </x:c>
      <x:c r="K66" s="58" t="n">
        <x:v>2</x:v>
      </x:c>
      <x:c r="L66" s="55" t="n">
        <x:v>3</x:v>
      </x:c>
      <x:c r="M66" s="55" t="str">
        <x:v>798 / 799 / 857</x:v>
      </x:c>
      <x:c r="N66" s="55" t="str">
        <x:v>Élevée</x:v>
      </x:c>
    </x:row>
    <x:row r="67">
      <x:c r="A67" s="55" t="str">
        <x:v>Mine de Sniper</x:v>
      </x:c>
      <x:c r="B67" s="55" t="str">
        <x:v>crossbowgun</x:v>
      </x:c>
      <x:c r="C67" s="55" t="n">
        <x:v>6</x:v>
      </x:c>
      <x:c r="D67" s="55" t="str">
        <x:v>093E7838h</x:v>
      </x:c>
      <x:c r="E67" s="55" t="str">
        <x:v>V6 → V7</x:v>
      </x:c>
      <x:c r="F67" s="55" t="str">
        <x:v>—</x:v>
      </x:c>
      <x:c r="G67" s="58" t="n">
        <x:v>0</x:v>
      </x:c>
      <x:c r="H67" s="58" t="n">
        <x:v>142000</x:v>
      </x:c>
      <x:c r="I67" s="58" t="n">
        <x:v>500</x:v>
      </x:c>
      <x:c r="J67" s="58" t="n">
        <x:v>8</x:v>
      </x:c>
      <x:c r="K67" s="58" t="n">
        <x:v>2</x:v>
      </x:c>
      <x:c r="L67" s="55" t="n">
        <x:v>3</x:v>
      </x:c>
      <x:c r="M67" s="55" t="str">
        <x:v>798 / 799 / 857</x:v>
      </x:c>
      <x:c r="N67" s="55" t="str">
        <x:v>Élevée</x:v>
      </x:c>
    </x:row>
    <x:row r="68">
      <x:c r="A68" s="55" t="str">
        <x:v>Mine de Sniper</x:v>
      </x:c>
      <x:c r="B68" s="55" t="str">
        <x:v>crossbowgun</x:v>
      </x:c>
      <x:c r="C68" s="55" t="n">
        <x:v>7</x:v>
      </x:c>
      <x:c r="D68" s="55" t="str">
        <x:v>093E7888h</x:v>
      </x:c>
      <x:c r="E68" s="55" t="str">
        <x:v>V7 → V8</x:v>
      </x:c>
      <x:c r="F68" s="55" t="str">
        <x:v>—</x:v>
      </x:c>
      <x:c r="G68" s="58" t="n">
        <x:v>0</x:v>
      </x:c>
      <x:c r="H68" s="58" t="n">
        <x:v>225000</x:v>
      </x:c>
      <x:c r="I68" s="58" t="n">
        <x:v>500</x:v>
      </x:c>
      <x:c r="J68" s="58" t="n">
        <x:v>8</x:v>
      </x:c>
      <x:c r="K68" s="58" t="n">
        <x:v>2</x:v>
      </x:c>
      <x:c r="L68" s="55" t="n">
        <x:v>3</x:v>
      </x:c>
      <x:c r="M68" s="55" t="str">
        <x:v>798 / 799 / 857</x:v>
      </x:c>
      <x:c r="N68" s="55" t="str">
        <x:v>Élevée</x:v>
      </x:c>
    </x:row>
    <x:row r="69">
      <x:c r="A69" s="55" t="str">
        <x:v>Mine de Sniper</x:v>
      </x:c>
      <x:c r="B69" s="55" t="str">
        <x:v>crossbowgun</x:v>
      </x:c>
      <x:c r="C69" s="55" t="n">
        <x:v>8</x:v>
      </x:c>
      <x:c r="D69" s="55" t="str">
        <x:v>093E78D8h</x:v>
      </x:c>
      <x:c r="E69" s="55" t="str">
        <x:v>Niveau maximum</x:v>
      </x:c>
      <x:c r="F69" s="55" t="str">
        <x:v>—</x:v>
      </x:c>
      <x:c r="G69" s="58" t="n">
        <x:v>0</x:v>
      </x:c>
      <x:c r="H69" s="58" t="n">
        <x:v>0</x:v>
      </x:c>
      <x:c r="I69" s="58" t="n">
        <x:v>500</x:v>
      </x:c>
      <x:c r="J69" s="58" t="n">
        <x:v>8</x:v>
      </x:c>
      <x:c r="K69" s="58" t="n">
        <x:v>2</x:v>
      </x:c>
      <x:c r="L69" s="55" t="n">
        <x:v>3</x:v>
      </x:c>
      <x:c r="M69" s="55" t="str">
        <x:v>798 / 799 / 857</x:v>
      </x:c>
      <x:c r="N69" s="55" t="str">
        <x:v>Élevée</x:v>
      </x:c>
    </x:row>
    <x:row r="70">
      <x:c r="A70" s="55" t="str">
        <x:v>Incinérator</x:v>
      </x:c>
      <x:c r="B70" s="55" t="str">
        <x:v>flamethrower</x:v>
      </x:c>
      <x:c r="C70" s="55" t="n">
        <x:v>1</x:v>
      </x:c>
      <x:c r="D70" s="55" t="str">
        <x:v>093E6E64h</x:v>
      </x:c>
      <x:c r="E70" s="55" t="str">
        <x:v>V1 → V2</x:v>
      </x:c>
      <x:c r="F70" s="55" t="str">
        <x:v>Achat initial</x:v>
      </x:c>
      <x:c r="G70" s="58" t="n">
        <x:v>20000</x:v>
      </x:c>
      <x:c r="H70" s="58" t="n">
        <x:v>7000</x:v>
      </x:c>
      <x:c r="I70" s="58" t="n">
        <x:v>2</x:v>
      </x:c>
      <x:c r="J70" s="58" t="n">
        <x:v>60</x:v>
      </x:c>
      <x:c r="K70" s="58" t="n">
        <x:v>12</x:v>
      </x:c>
      <x:c r="L70" s="55" t="n">
        <x:v>3</x:v>
      </x:c>
      <x:c r="M70" s="55" t="str">
        <x:v>736 / 737 / 826</x:v>
      </x:c>
      <x:c r="N70" s="55" t="str">
        <x:v>Élevée</x:v>
      </x:c>
    </x:row>
    <x:row r="71">
      <x:c r="A71" s="55" t="str">
        <x:v>Incinérator</x:v>
      </x:c>
      <x:c r="B71" s="55" t="str">
        <x:v>flamethrower</x:v>
      </x:c>
      <x:c r="C71" s="55" t="n">
        <x:v>2</x:v>
      </x:c>
      <x:c r="D71" s="55" t="str">
        <x:v>093E6EB4h</x:v>
      </x:c>
      <x:c r="E71" s="55" t="str">
        <x:v>V2 → V3</x:v>
      </x:c>
      <x:c r="F71" s="55" t="str">
        <x:v>—</x:v>
      </x:c>
      <x:c r="G71" s="58" t="n">
        <x:v>0</x:v>
      </x:c>
      <x:c r="H71" s="58" t="n">
        <x:v>8500</x:v>
      </x:c>
      <x:c r="I71" s="58" t="n">
        <x:v>2</x:v>
      </x:c>
      <x:c r="J71" s="58" t="n">
        <x:v>90</x:v>
      </x:c>
      <x:c r="K71" s="58" t="n">
        <x:v>12</x:v>
      </x:c>
      <x:c r="L71" s="55" t="n">
        <x:v>3</x:v>
      </x:c>
      <x:c r="M71" s="55" t="str">
        <x:v>738 / 739 / 827</x:v>
      </x:c>
      <x:c r="N71" s="55" t="str">
        <x:v>Élevée</x:v>
      </x:c>
    </x:row>
    <x:row r="72">
      <x:c r="A72" s="55" t="str">
        <x:v>Incinérator</x:v>
      </x:c>
      <x:c r="B72" s="55" t="str">
        <x:v>flamethrower</x:v>
      </x:c>
      <x:c r="C72" s="55" t="n">
        <x:v>3</x:v>
      </x:c>
      <x:c r="D72" s="55" t="str">
        <x:v>093E6F04h</x:v>
      </x:c>
      <x:c r="E72" s="55" t="str">
        <x:v>V3 → V4</x:v>
      </x:c>
      <x:c r="F72" s="55" t="str">
        <x:v>—</x:v>
      </x:c>
      <x:c r="G72" s="58" t="n">
        <x:v>0</x:v>
      </x:c>
      <x:c r="H72" s="58" t="n">
        <x:v>10000</x:v>
      </x:c>
      <x:c r="I72" s="58" t="n">
        <x:v>2</x:v>
      </x:c>
      <x:c r="J72" s="58" t="n">
        <x:v>90</x:v>
      </x:c>
      <x:c r="K72" s="58" t="n">
        <x:v>12</x:v>
      </x:c>
      <x:c r="L72" s="55" t="n">
        <x:v>3</x:v>
      </x:c>
      <x:c r="M72" s="55" t="str">
        <x:v>740 / 741 / 828</x:v>
      </x:c>
      <x:c r="N72" s="55" t="str">
        <x:v>Élevée</x:v>
      </x:c>
    </x:row>
    <x:row r="73">
      <x:c r="A73" s="55" t="str">
        <x:v>Incinérator</x:v>
      </x:c>
      <x:c r="B73" s="55" t="str">
        <x:v>flamethrower</x:v>
      </x:c>
      <x:c r="C73" s="55" t="n">
        <x:v>4</x:v>
      </x:c>
      <x:c r="D73" s="55" t="str">
        <x:v>093E6F54h</x:v>
      </x:c>
      <x:c r="E73" s="55" t="str">
        <x:v>V4 → V5 (Titan)</x:v>
      </x:c>
      <x:c r="F73" s="55" t="str">
        <x:v>Achat Titan</x:v>
      </x:c>
      <x:c r="G73" s="58" t="n">
        <x:v>250000</x:v>
      </x:c>
      <x:c r="H73" s="58" t="n">
        <x:v>0</x:v>
      </x:c>
      <x:c r="I73" s="58" t="n">
        <x:v>2</x:v>
      </x:c>
      <x:c r="J73" s="58" t="n">
        <x:v>90</x:v>
      </x:c>
      <x:c r="K73" s="58" t="n">
        <x:v>12</x:v>
      </x:c>
      <x:c r="L73" s="55" t="n">
        <x:v>3</x:v>
      </x:c>
      <x:c r="M73" s="55" t="str">
        <x:v>742 / 743 / 829</x:v>
      </x:c>
      <x:c r="N73" s="55" t="str">
        <x:v>Élevée</x:v>
      </x:c>
    </x:row>
    <x:row r="74">
      <x:c r="A74" s="55" t="str">
        <x:v>Incinérator</x:v>
      </x:c>
      <x:c r="B74" s="55" t="str">
        <x:v>flamethrower</x:v>
      </x:c>
      <x:c r="C74" s="55" t="n">
        <x:v>5</x:v>
      </x:c>
      <x:c r="D74" s="55" t="str">
        <x:v>093E6FA4h</x:v>
      </x:c>
      <x:c r="E74" s="55" t="str">
        <x:v>V5 → V6</x:v>
      </x:c>
      <x:c r="F74" s="55" t="str">
        <x:v>—</x:v>
      </x:c>
      <x:c r="G74" s="58" t="n">
        <x:v>0</x:v>
      </x:c>
      <x:c r="H74" s="58" t="n">
        <x:v>27000</x:v>
      </x:c>
      <x:c r="I74" s="58" t="n">
        <x:v>15</x:v>
      </x:c>
      <x:c r="J74" s="58" t="n">
        <x:v>90</x:v>
      </x:c>
      <x:c r="K74" s="58" t="n">
        <x:v>12</x:v>
      </x:c>
      <x:c r="L74" s="55" t="n">
        <x:v>3</x:v>
      </x:c>
      <x:c r="M74" s="55" t="str">
        <x:v>742 / 743 / 829</x:v>
      </x:c>
      <x:c r="N74" s="55" t="str">
        <x:v>Élevée</x:v>
      </x:c>
    </x:row>
    <x:row r="75">
      <x:c r="A75" s="55" t="str">
        <x:v>Incinérator</x:v>
      </x:c>
      <x:c r="B75" s="55" t="str">
        <x:v>flamethrower</x:v>
      </x:c>
      <x:c r="C75" s="55" t="n">
        <x:v>6</x:v>
      </x:c>
      <x:c r="D75" s="55" t="str">
        <x:v>093E6FF4h</x:v>
      </x:c>
      <x:c r="E75" s="55" t="str">
        <x:v>V6 → V7</x:v>
      </x:c>
      <x:c r="F75" s="55" t="str">
        <x:v>—</x:v>
      </x:c>
      <x:c r="G75" s="58" t="n">
        <x:v>0</x:v>
      </x:c>
      <x:c r="H75" s="58" t="n">
        <x:v>55000</x:v>
      </x:c>
      <x:c r="I75" s="58" t="n">
        <x:v>15</x:v>
      </x:c>
      <x:c r="J75" s="58" t="n">
        <x:v>90</x:v>
      </x:c>
      <x:c r="K75" s="58" t="n">
        <x:v>12</x:v>
      </x:c>
      <x:c r="L75" s="55" t="n">
        <x:v>3</x:v>
      </x:c>
      <x:c r="M75" s="55" t="str">
        <x:v>742 / 743 / 829</x:v>
      </x:c>
      <x:c r="N75" s="55" t="str">
        <x:v>Élevée</x:v>
      </x:c>
    </x:row>
    <x:row r="76">
      <x:c r="A76" s="55" t="str">
        <x:v>Incinérator</x:v>
      </x:c>
      <x:c r="B76" s="55" t="str">
        <x:v>flamethrower</x:v>
      </x:c>
      <x:c r="C76" s="55" t="n">
        <x:v>7</x:v>
      </x:c>
      <x:c r="D76" s="55" t="str">
        <x:v>093E7044h</x:v>
      </x:c>
      <x:c r="E76" s="55" t="str">
        <x:v>V7 → V8</x:v>
      </x:c>
      <x:c r="F76" s="55" t="str">
        <x:v>—</x:v>
      </x:c>
      <x:c r="G76" s="58" t="n">
        <x:v>0</x:v>
      </x:c>
      <x:c r="H76" s="58" t="n">
        <x:v>205000</x:v>
      </x:c>
      <x:c r="I76" s="58" t="n">
        <x:v>15</x:v>
      </x:c>
      <x:c r="J76" s="58" t="n">
        <x:v>90</x:v>
      </x:c>
      <x:c r="K76" s="58" t="n">
        <x:v>12</x:v>
      </x:c>
      <x:c r="L76" s="55" t="n">
        <x:v>3</x:v>
      </x:c>
      <x:c r="M76" s="55" t="str">
        <x:v>742 / 743 / 829</x:v>
      </x:c>
      <x:c r="N76" s="55" t="str">
        <x:v>Élevée</x:v>
      </x:c>
    </x:row>
    <x:row r="77">
      <x:c r="A77" s="55" t="str">
        <x:v>Incinérator</x:v>
      </x:c>
      <x:c r="B77" s="55" t="str">
        <x:v>flamethrower</x:v>
      </x:c>
      <x:c r="C77" s="55" t="n">
        <x:v>8</x:v>
      </x:c>
      <x:c r="D77" s="55" t="str">
        <x:v>093E7094h</x:v>
      </x:c>
      <x:c r="E77" s="55" t="str">
        <x:v>Niveau maximum</x:v>
      </x:c>
      <x:c r="F77" s="55" t="str">
        <x:v>—</x:v>
      </x:c>
      <x:c r="G77" s="58" t="n">
        <x:v>0</x:v>
      </x:c>
      <x:c r="H77" s="58" t="n">
        <x:v>0</x:v>
      </x:c>
      <x:c r="I77" s="58" t="n">
        <x:v>15</x:v>
      </x:c>
      <x:c r="J77" s="58" t="n">
        <x:v>90</x:v>
      </x:c>
      <x:c r="K77" s="58" t="n">
        <x:v>12</x:v>
      </x:c>
      <x:c r="L77" s="55" t="n">
        <x:v>3</x:v>
      </x:c>
      <x:c r="M77" s="55" t="str">
        <x:v>742 / 743 / 829</x:v>
      </x:c>
      <x:c r="N77" s="55" t="str">
        <x:v>Élevée</x:v>
      </x:c>
    </x:row>
    <x:row r="78">
      <x:c r="A78" s="55" t="str">
        <x:v>Pisteur Laser</x:v>
      </x:c>
      <x:c r="B78" s="55" t="str">
        <x:v>lasertracer</x:v>
      </x:c>
      <x:c r="C78" s="55" t="n">
        <x:v>1</x:v>
      </x:c>
      <x:c r="D78" s="55" t="str">
        <x:v>093E7E7Ch</x:v>
      </x:c>
      <x:c r="E78" s="55" t="str">
        <x:v>V1 → V2</x:v>
      </x:c>
      <x:c r="F78" s="55" t="str">
        <x:v>Achat initial</x:v>
      </x:c>
      <x:c r="G78" s="58" t="n">
        <x:v>85000</x:v>
      </x:c>
      <x:c r="H78" s="58" t="n">
        <x:v>15000</x:v>
      </x:c>
      <x:c r="I78" s="58" t="n">
        <x:v>10</x:v>
      </x:c>
      <x:c r="J78" s="58" t="n">
        <x:v>200</x:v>
      </x:c>
      <x:c r="K78" s="58" t="n">
        <x:v>25</x:v>
      </x:c>
      <x:c r="L78" s="55" t="n">
        <x:v>6</x:v>
      </x:c>
      <x:c r="M78" s="55" t="str">
        <x:v>768 / 769 / 842</x:v>
      </x:c>
      <x:c r="N78" s="55" t="str">
        <x:v>Élevée</x:v>
      </x:c>
    </x:row>
    <x:row r="79">
      <x:c r="A79" s="55" t="str">
        <x:v>Pisteur Laser</x:v>
      </x:c>
      <x:c r="B79" s="55" t="str">
        <x:v>lasertracer</x:v>
      </x:c>
      <x:c r="C79" s="55" t="n">
        <x:v>2</x:v>
      </x:c>
      <x:c r="D79" s="55" t="str">
        <x:v>093E7ECCh</x:v>
      </x:c>
      <x:c r="E79" s="55" t="str">
        <x:v>V2 → V3</x:v>
      </x:c>
      <x:c r="F79" s="55" t="str">
        <x:v>—</x:v>
      </x:c>
      <x:c r="G79" s="58" t="n">
        <x:v>0</x:v>
      </x:c>
      <x:c r="H79" s="58" t="n">
        <x:v>27000</x:v>
      </x:c>
      <x:c r="I79" s="58" t="n">
        <x:v>10</x:v>
      </x:c>
      <x:c r="J79" s="58" t="n">
        <x:v>200</x:v>
      </x:c>
      <x:c r="K79" s="58" t="n">
        <x:v>25</x:v>
      </x:c>
      <x:c r="L79" s="55" t="n">
        <x:v>6</x:v>
      </x:c>
      <x:c r="M79" s="55" t="str">
        <x:v>770 / 771 / 843</x:v>
      </x:c>
      <x:c r="N79" s="55" t="str">
        <x:v>Élevée</x:v>
      </x:c>
    </x:row>
    <x:row r="80">
      <x:c r="A80" s="55" t="str">
        <x:v>Pisteur Laser</x:v>
      </x:c>
      <x:c r="B80" s="55" t="str">
        <x:v>lasertracer</x:v>
      </x:c>
      <x:c r="C80" s="55" t="n">
        <x:v>3</x:v>
      </x:c>
      <x:c r="D80" s="55" t="str">
        <x:v>093E7F1Ch</x:v>
      </x:c>
      <x:c r="E80" s="55" t="str">
        <x:v>V3 → V4</x:v>
      </x:c>
      <x:c r="F80" s="55" t="str">
        <x:v>—</x:v>
      </x:c>
      <x:c r="G80" s="58" t="n">
        <x:v>0</x:v>
      </x:c>
      <x:c r="H80" s="58" t="n">
        <x:v>45000</x:v>
      </x:c>
      <x:c r="I80" s="58" t="n">
        <x:v>10</x:v>
      </x:c>
      <x:c r="J80" s="58" t="n">
        <x:v>300</x:v>
      </x:c>
      <x:c r="K80" s="58" t="n">
        <x:v>25</x:v>
      </x:c>
      <x:c r="L80" s="55" t="n">
        <x:v>6</x:v>
      </x:c>
      <x:c r="M80" s="55" t="str">
        <x:v>772 / 773 / 844</x:v>
      </x:c>
      <x:c r="N80" s="55" t="str">
        <x:v>Élevée</x:v>
      </x:c>
    </x:row>
    <x:row r="81">
      <x:c r="A81" s="55" t="str">
        <x:v>Pisteur Laser</x:v>
      </x:c>
      <x:c r="B81" s="55" t="str">
        <x:v>lasertracer</x:v>
      </x:c>
      <x:c r="C81" s="55" t="n">
        <x:v>4</x:v>
      </x:c>
      <x:c r="D81" s="55" t="str">
        <x:v>093E7F6Ch</x:v>
      </x:c>
      <x:c r="E81" s="55" t="str">
        <x:v>V4 → V5 (Titan)</x:v>
      </x:c>
      <x:c r="F81" s="55" t="str">
        <x:v>Achat Titan</x:v>
      </x:c>
      <x:c r="G81" s="58" t="n">
        <x:v>3000000</x:v>
      </x:c>
      <x:c r="H81" s="58" t="n">
        <x:v>0</x:v>
      </x:c>
      <x:c r="I81" s="58" t="n">
        <x:v>10</x:v>
      </x:c>
      <x:c r="J81" s="58" t="n">
        <x:v>300</x:v>
      </x:c>
      <x:c r="K81" s="58" t="n">
        <x:v>25</x:v>
      </x:c>
      <x:c r="L81" s="55" t="n">
        <x:v>6</x:v>
      </x:c>
      <x:c r="M81" s="55" t="str">
        <x:v>774 / 775 / 845</x:v>
      </x:c>
      <x:c r="N81" s="55" t="str">
        <x:v>Élevée</x:v>
      </x:c>
    </x:row>
    <x:row r="82">
      <x:c r="A82" s="55" t="str">
        <x:v>Pisteur Laser</x:v>
      </x:c>
      <x:c r="B82" s="55" t="str">
        <x:v>lasertracer</x:v>
      </x:c>
      <x:c r="C82" s="55" t="n">
        <x:v>5</x:v>
      </x:c>
      <x:c r="D82" s="55" t="str">
        <x:v>093E7FBCh</x:v>
      </x:c>
      <x:c r="E82" s="55" t="str">
        <x:v>V5 → V6</x:v>
      </x:c>
      <x:c r="F82" s="55" t="str">
        <x:v>—</x:v>
      </x:c>
      <x:c r="G82" s="58" t="n">
        <x:v>0</x:v>
      </x:c>
      <x:c r="H82" s="58" t="n">
        <x:v>65000</x:v>
      </x:c>
      <x:c r="I82" s="58" t="n">
        <x:v>75</x:v>
      </x:c>
      <x:c r="J82" s="58" t="n">
        <x:v>300</x:v>
      </x:c>
      <x:c r="K82" s="58" t="n">
        <x:v>25</x:v>
      </x:c>
      <x:c r="L82" s="55" t="n">
        <x:v>6</x:v>
      </x:c>
      <x:c r="M82" s="55" t="str">
        <x:v>774 / 775 / 845</x:v>
      </x:c>
      <x:c r="N82" s="55" t="str">
        <x:v>Élevée</x:v>
      </x:c>
    </x:row>
    <x:row r="83">
      <x:c r="A83" s="55" t="str">
        <x:v>Pisteur Laser</x:v>
      </x:c>
      <x:c r="B83" s="55" t="str">
        <x:v>lasertracer</x:v>
      </x:c>
      <x:c r="C83" s="55" t="n">
        <x:v>6</x:v>
      </x:c>
      <x:c r="D83" s="55" t="str">
        <x:v>093E800Ch</x:v>
      </x:c>
      <x:c r="E83" s="55" t="str">
        <x:v>V6 → V7</x:v>
      </x:c>
      <x:c r="F83" s="55" t="str">
        <x:v>—</x:v>
      </x:c>
      <x:c r="G83" s="58" t="n">
        <x:v>0</x:v>
      </x:c>
      <x:c r="H83" s="58" t="n">
        <x:v>225000</x:v>
      </x:c>
      <x:c r="I83" s="58" t="n">
        <x:v>75</x:v>
      </x:c>
      <x:c r="J83" s="58" t="n">
        <x:v>300</x:v>
      </x:c>
      <x:c r="K83" s="58" t="n">
        <x:v>25</x:v>
      </x:c>
      <x:c r="L83" s="55" t="n">
        <x:v>6</x:v>
      </x:c>
      <x:c r="M83" s="55" t="str">
        <x:v>774 / 775 / 845</x:v>
      </x:c>
      <x:c r="N83" s="55" t="str">
        <x:v>Élevée</x:v>
      </x:c>
    </x:row>
    <x:row r="84">
      <x:c r="A84" s="55" t="str">
        <x:v>Pisteur Laser</x:v>
      </x:c>
      <x:c r="B84" s="55" t="str">
        <x:v>lasertracer</x:v>
      </x:c>
      <x:c r="C84" s="55" t="n">
        <x:v>7</x:v>
      </x:c>
      <x:c r="D84" s="55" t="str">
        <x:v>093E805Ch</x:v>
      </x:c>
      <x:c r="E84" s="55" t="str">
        <x:v>V7 → V8</x:v>
      </x:c>
      <x:c r="F84" s="55" t="str">
        <x:v>—</x:v>
      </x:c>
      <x:c r="G84" s="58" t="n">
        <x:v>0</x:v>
      </x:c>
      <x:c r="H84" s="58" t="n">
        <x:v>350000</x:v>
      </x:c>
      <x:c r="I84" s="58" t="n">
        <x:v>75</x:v>
      </x:c>
      <x:c r="J84" s="58" t="n">
        <x:v>300</x:v>
      </x:c>
      <x:c r="K84" s="58" t="n">
        <x:v>25</x:v>
      </x:c>
      <x:c r="L84" s="55" t="n">
        <x:v>6</x:v>
      </x:c>
      <x:c r="M84" s="55" t="str">
        <x:v>774 / 775 / 845</x:v>
      </x:c>
      <x:c r="N84" s="55" t="str">
        <x:v>Élevée</x:v>
      </x:c>
    </x:row>
    <x:row r="85">
      <x:c r="A85" s="55" t="str">
        <x:v>Pisteur Laser</x:v>
      </x:c>
      <x:c r="B85" s="55" t="str">
        <x:v>lasertracer</x:v>
      </x:c>
      <x:c r="C85" s="55" t="n">
        <x:v>8</x:v>
      </x:c>
      <x:c r="D85" s="55" t="str">
        <x:v>093E80ACh</x:v>
      </x:c>
      <x:c r="E85" s="55" t="str">
        <x:v>Niveau maximum</x:v>
      </x:c>
      <x:c r="F85" s="55" t="str">
        <x:v>—</x:v>
      </x:c>
      <x:c r="G85" s="58" t="n">
        <x:v>0</x:v>
      </x:c>
      <x:c r="H85" s="58" t="n">
        <x:v>0</x:v>
      </x:c>
      <x:c r="I85" s="58" t="n">
        <x:v>75</x:v>
      </x:c>
      <x:c r="J85" s="58" t="n">
        <x:v>300</x:v>
      </x:c>
      <x:c r="K85" s="58" t="n">
        <x:v>25</x:v>
      </x:c>
      <x:c r="L85" s="55" t="n">
        <x:v>6</x:v>
      </x:c>
      <x:c r="M85" s="55" t="str">
        <x:v>774 / 775 / 845</x:v>
      </x:c>
      <x:c r="N85" s="55" t="str">
        <x:v>Élevée</x:v>
      </x:c>
    </x:row>
    <x:row r="86">
      <x:c r="A86" s="55" t="str">
        <x:v>Aspiro-Canon</x:v>
      </x:c>
      <x:c r="B86" s="55" t="str">
        <x:v>suckcannon</x:v>
      </x:c>
      <x:c r="C86" s="55" t="n">
        <x:v>1</x:v>
      </x:c>
      <x:c r="D86" s="55" t="str">
        <x:v>093E7960h</x:v>
      </x:c>
      <x:c r="E86" s="55" t="str">
        <x:v>V1 → V2</x:v>
      </x:c>
      <x:c r="F86" s="55" t="str">
        <x:v>Achat initial</x:v>
      </x:c>
      <x:c r="G86" s="58" t="n">
        <x:v>30000</x:v>
      </x:c>
      <x:c r="H86" s="58" t="n">
        <x:v>3500</x:v>
      </x:c>
      <x:c r="I86" s="58" t="n">
        <x:v>0</x:v>
      </x:c>
      <x:c r="J86" s="58" t="n">
        <x:v>8</x:v>
      </x:c>
      <x:c r="K86" s="58" t="n">
        <x:v>0</x:v>
      </x:c>
      <x:c r="L86" s="55" t="n">
        <x:v>3</x:v>
      </x:c>
      <x:c r="M86" s="55" t="str">
        <x:v>0 / 0 / 0</x:v>
      </x:c>
      <x:c r="N86" s="55" t="str">
        <x:v>Élevée</x:v>
      </x:c>
    </x:row>
    <x:row r="87">
      <x:c r="A87" s="55" t="str">
        <x:v>Aspiro-Canon</x:v>
      </x:c>
      <x:c r="B87" s="55" t="str">
        <x:v>suckcannon</x:v>
      </x:c>
      <x:c r="C87" s="55" t="n">
        <x:v>2</x:v>
      </x:c>
      <x:c r="D87" s="55" t="str">
        <x:v>093E79B0h</x:v>
      </x:c>
      <x:c r="E87" s="55" t="str">
        <x:v>V2 → V3</x:v>
      </x:c>
      <x:c r="F87" s="55" t="str">
        <x:v>—</x:v>
      </x:c>
      <x:c r="G87" s="58" t="n">
        <x:v>0</x:v>
      </x:c>
      <x:c r="H87" s="58" t="n">
        <x:v>5000</x:v>
      </x:c>
      <x:c r="I87" s="58" t="n">
        <x:v>0</x:v>
      </x:c>
      <x:c r="J87" s="58" t="n">
        <x:v>10</x:v>
      </x:c>
      <x:c r="K87" s="58" t="n">
        <x:v>0</x:v>
      </x:c>
      <x:c r="L87" s="55" t="n">
        <x:v>3</x:v>
      </x:c>
      <x:c r="M87" s="55" t="str">
        <x:v>0 / 0 / 0</x:v>
      </x:c>
      <x:c r="N87" s="55" t="str">
        <x:v>Élevée</x:v>
      </x:c>
    </x:row>
    <x:row r="88">
      <x:c r="A88" s="55" t="str">
        <x:v>Aspiro-Canon</x:v>
      </x:c>
      <x:c r="B88" s="55" t="str">
        <x:v>suckcannon</x:v>
      </x:c>
      <x:c r="C88" s="55" t="n">
        <x:v>3</x:v>
      </x:c>
      <x:c r="D88" s="55" t="str">
        <x:v>093E7A00h</x:v>
      </x:c>
      <x:c r="E88" s="55" t="str">
        <x:v>V3 → V4</x:v>
      </x:c>
      <x:c r="F88" s="55" t="str">
        <x:v>—</x:v>
      </x:c>
      <x:c r="G88" s="58" t="n">
        <x:v>0</x:v>
      </x:c>
      <x:c r="H88" s="58" t="n">
        <x:v>7000</x:v>
      </x:c>
      <x:c r="I88" s="58" t="n">
        <x:v>0</x:v>
      </x:c>
      <x:c r="J88" s="58" t="n">
        <x:v>12</x:v>
      </x:c>
      <x:c r="K88" s="58" t="n">
        <x:v>0</x:v>
      </x:c>
      <x:c r="L88" s="55" t="n">
        <x:v>3</x:v>
      </x:c>
      <x:c r="M88" s="55" t="str">
        <x:v>0 / 0 / 0</x:v>
      </x:c>
      <x:c r="N88" s="55" t="str">
        <x:v>Élevée</x:v>
      </x:c>
    </x:row>
    <x:row r="89">
      <x:c r="A89" s="55" t="str">
        <x:v>Aspiro-Canon</x:v>
      </x:c>
      <x:c r="B89" s="55" t="str">
        <x:v>suckcannon</x:v>
      </x:c>
      <x:c r="C89" s="55" t="n">
        <x:v>4</x:v>
      </x:c>
      <x:c r="D89" s="55" t="str">
        <x:v>093E7A50h</x:v>
      </x:c>
      <x:c r="E89" s="55" t="str">
        <x:v>V4 → V5 (Titan)</x:v>
      </x:c>
      <x:c r="F89" s="55" t="str">
        <x:v>Achat Titan</x:v>
      </x:c>
      <x:c r="G89" s="58" t="n">
        <x:v>300000</x:v>
      </x:c>
      <x:c r="H89" s="58" t="n">
        <x:v>0</x:v>
      </x:c>
      <x:c r="I89" s="58" t="n">
        <x:v>0</x:v>
      </x:c>
      <x:c r="J89" s="58" t="n">
        <x:v>16</x:v>
      </x:c>
      <x:c r="K89" s="58" t="n">
        <x:v>0</x:v>
      </x:c>
      <x:c r="L89" s="55" t="n">
        <x:v>3</x:v>
      </x:c>
      <x:c r="M89" s="55" t="str">
        <x:v>0 / 0 / 0</x:v>
      </x:c>
      <x:c r="N89" s="55" t="str">
        <x:v>Élevée</x:v>
      </x:c>
    </x:row>
    <x:row r="90">
      <x:c r="A90" s="55" t="str">
        <x:v>Aspiro-Canon</x:v>
      </x:c>
      <x:c r="B90" s="55" t="str">
        <x:v>suckcannon</x:v>
      </x:c>
      <x:c r="C90" s="55" t="n">
        <x:v>5</x:v>
      </x:c>
      <x:c r="D90" s="55" t="str">
        <x:v>093E7AA0h</x:v>
      </x:c>
      <x:c r="E90" s="55" t="str">
        <x:v>V5 → V6</x:v>
      </x:c>
      <x:c r="F90" s="55" t="str">
        <x:v>—</x:v>
      </x:c>
      <x:c r="G90" s="58" t="n">
        <x:v>0</x:v>
      </x:c>
      <x:c r="H90" s="58" t="n">
        <x:v>12500</x:v>
      </x:c>
      <x:c r="I90" s="58" t="n">
        <x:v>0</x:v>
      </x:c>
      <x:c r="J90" s="58" t="n">
        <x:v>10</x:v>
      </x:c>
      <x:c r="K90" s="58" t="n">
        <x:v>0</x:v>
      </x:c>
      <x:c r="L90" s="55" t="n">
        <x:v>3</x:v>
      </x:c>
      <x:c r="M90" s="55" t="str">
        <x:v>0 / 0 / 0</x:v>
      </x:c>
      <x:c r="N90" s="55" t="str">
        <x:v>Élevée</x:v>
      </x:c>
    </x:row>
    <x:row r="91">
      <x:c r="A91" s="55" t="str">
        <x:v>Aspiro-Canon</x:v>
      </x:c>
      <x:c r="B91" s="55" t="str">
        <x:v>suckcannon</x:v>
      </x:c>
      <x:c r="C91" s="55" t="n">
        <x:v>6</x:v>
      </x:c>
      <x:c r="D91" s="55" t="str">
        <x:v>093E7AF0h</x:v>
      </x:c>
      <x:c r="E91" s="55" t="str">
        <x:v>V6 → V7</x:v>
      </x:c>
      <x:c r="F91" s="55" t="str">
        <x:v>—</x:v>
      </x:c>
      <x:c r="G91" s="58" t="n">
        <x:v>0</x:v>
      </x:c>
      <x:c r="H91" s="58" t="n">
        <x:v>43000</x:v>
      </x:c>
      <x:c r="I91" s="58" t="n">
        <x:v>0</x:v>
      </x:c>
      <x:c r="J91" s="58" t="n">
        <x:v>12</x:v>
      </x:c>
      <x:c r="K91" s="58" t="n">
        <x:v>0</x:v>
      </x:c>
      <x:c r="L91" s="55" t="n">
        <x:v>3</x:v>
      </x:c>
      <x:c r="M91" s="55" t="str">
        <x:v>0 / 0 / 0</x:v>
      </x:c>
      <x:c r="N91" s="55" t="str">
        <x:v>Élevée</x:v>
      </x:c>
    </x:row>
    <x:row r="92">
      <x:c r="A92" s="55" t="str">
        <x:v>Aspiro-Canon</x:v>
      </x:c>
      <x:c r="B92" s="55" t="str">
        <x:v>suckcannon</x:v>
      </x:c>
      <x:c r="C92" s="55" t="n">
        <x:v>7</x:v>
      </x:c>
      <x:c r="D92" s="55" t="str">
        <x:v>093E7B40h</x:v>
      </x:c>
      <x:c r="E92" s="55" t="str">
        <x:v>V7 → V8</x:v>
      </x:c>
      <x:c r="F92" s="55" t="str">
        <x:v>—</x:v>
      </x:c>
      <x:c r="G92" s="58" t="n">
        <x:v>0</x:v>
      </x:c>
      <x:c r="H92" s="58" t="n">
        <x:v>67500</x:v>
      </x:c>
      <x:c r="I92" s="58" t="n">
        <x:v>0</x:v>
      </x:c>
      <x:c r="J92" s="58" t="n">
        <x:v>14</x:v>
      </x:c>
      <x:c r="K92" s="58" t="n">
        <x:v>0</x:v>
      </x:c>
      <x:c r="L92" s="55" t="n">
        <x:v>3</x:v>
      </x:c>
      <x:c r="M92" s="55" t="str">
        <x:v>0 / 0 / 0</x:v>
      </x:c>
      <x:c r="N92" s="55" t="str">
        <x:v>Élevée</x:v>
      </x:c>
    </x:row>
    <x:row r="93">
      <x:c r="A93" s="55" t="str">
        <x:v>Aspiro-Canon</x:v>
      </x:c>
      <x:c r="B93" s="55" t="str">
        <x:v>suckcannon</x:v>
      </x:c>
      <x:c r="C93" s="55" t="n">
        <x:v>8</x:v>
      </x:c>
      <x:c r="D93" s="55" t="str">
        <x:v>093E7B90h</x:v>
      </x:c>
      <x:c r="E93" s="55" t="str">
        <x:v>Niveau maximum</x:v>
      </x:c>
      <x:c r="F93" s="55" t="str">
        <x:v>—</x:v>
      </x:c>
      <x:c r="G93" s="58" t="n">
        <x:v>0</x:v>
      </x:c>
      <x:c r="H93" s="58" t="n">
        <x:v>0</x:v>
      </x:c>
      <x:c r="I93" s="58" t="n">
        <x:v>0</x:v>
      </x:c>
      <x:c r="J93" s="58" t="n">
        <x:v>16</x:v>
      </x:c>
      <x:c r="K93" s="58" t="n">
        <x:v>0</x:v>
      </x:c>
      <x:c r="L93" s="55" t="n">
        <x:v>3</x:v>
      </x:c>
      <x:c r="M93" s="55" t="str">
        <x:v>0 / 0 / 0</x:v>
      </x:c>
      <x:c r="N93" s="55" t="str">
        <x:v>Élevée</x:v>
      </x:c>
    </x:row>
    <x:row r="94">
      <x:c r="A94" s="55" t="str">
        <x:v>Bovinator</x:v>
      </x:c>
      <x:c r="B94" s="55" t="str">
        <x:v>mootator</x:v>
      </x:c>
      <x:c r="C94" s="55" t="n">
        <x:v>1</x:v>
      </x:c>
      <x:c r="D94" s="55" t="str">
        <x:v>093E7BFCh</x:v>
      </x:c>
      <x:c r="E94" s="55" t="str">
        <x:v>V1 → V2</x:v>
      </x:c>
      <x:c r="F94" s="55" t="str">
        <x:v>Initial / gratuit</x:v>
      </x:c>
      <x:c r="G94" s="58" t="n">
        <x:v>0</x:v>
      </x:c>
      <x:c r="H94" s="58" t="n">
        <x:v>12000</x:v>
      </x:c>
      <x:c r="I94" s="58" t="n">
        <x:v>0</x:v>
      </x:c>
      <x:c r="J94" s="58" t="n">
        <x:v>0</x:v>
      </x:c>
      <x:c r="K94" s="58" t="n">
        <x:v>0</x:v>
      </x:c>
      <x:c r="L94" s="55" t="n">
        <x:v>2</x:v>
      </x:c>
      <x:c r="M94" s="55" t="str">
        <x:v>0 / 0 / 0</x:v>
      </x:c>
      <x:c r="N94" s="55" t="str">
        <x:v>Élevée</x:v>
      </x:c>
    </x:row>
    <x:row r="95">
      <x:c r="A95" s="55" t="str">
        <x:v>Bovinator</x:v>
      </x:c>
      <x:c r="B95" s="55" t="str">
        <x:v>mootator</x:v>
      </x:c>
      <x:c r="C95" s="55" t="n">
        <x:v>2</x:v>
      </x:c>
      <x:c r="D95" s="55" t="str">
        <x:v>093E7C4Ch</x:v>
      </x:c>
      <x:c r="E95" s="55" t="str">
        <x:v>V2 → V3</x:v>
      </x:c>
      <x:c r="F95" s="55" t="str">
        <x:v>—</x:v>
      </x:c>
      <x:c r="G95" s="58" t="n">
        <x:v>0</x:v>
      </x:c>
      <x:c r="H95" s="58" t="n">
        <x:v>14000</x:v>
      </x:c>
      <x:c r="I95" s="58" t="n">
        <x:v>0</x:v>
      </x:c>
      <x:c r="J95" s="58" t="n">
        <x:v>0</x:v>
      </x:c>
      <x:c r="K95" s="58" t="n">
        <x:v>0</x:v>
      </x:c>
      <x:c r="L95" s="55" t="n">
        <x:v>2</x:v>
      </x:c>
      <x:c r="M95" s="55" t="str">
        <x:v>0 / 0 / 0</x:v>
      </x:c>
      <x:c r="N95" s="55" t="str">
        <x:v>Élevée</x:v>
      </x:c>
    </x:row>
    <x:row r="96">
      <x:c r="A96" s="55" t="str">
        <x:v>Bovinator</x:v>
      </x:c>
      <x:c r="B96" s="55" t="str">
        <x:v>mootator</x:v>
      </x:c>
      <x:c r="C96" s="55" t="n">
        <x:v>3</x:v>
      </x:c>
      <x:c r="D96" s="55" t="str">
        <x:v>093E7C9Ch</x:v>
      </x:c>
      <x:c r="E96" s="55" t="str">
        <x:v>V3 → V4</x:v>
      </x:c>
      <x:c r="F96" s="55" t="str">
        <x:v>—</x:v>
      </x:c>
      <x:c r="G96" s="58" t="n">
        <x:v>0</x:v>
      </x:c>
      <x:c r="H96" s="58" t="n">
        <x:v>16000</x:v>
      </x:c>
      <x:c r="I96" s="58" t="n">
        <x:v>0</x:v>
      </x:c>
      <x:c r="J96" s="58" t="n">
        <x:v>0</x:v>
      </x:c>
      <x:c r="K96" s="58" t="n">
        <x:v>0</x:v>
      </x:c>
      <x:c r="L96" s="55" t="n">
        <x:v>2</x:v>
      </x:c>
      <x:c r="M96" s="55" t="str">
        <x:v>0 / 0 / 0</x:v>
      </x:c>
      <x:c r="N96" s="55" t="str">
        <x:v>Élevée</x:v>
      </x:c>
    </x:row>
    <x:row r="97">
      <x:c r="A97" s="55" t="str">
        <x:v>Bovinator</x:v>
      </x:c>
      <x:c r="B97" s="55" t="str">
        <x:v>mootator</x:v>
      </x:c>
      <x:c r="C97" s="55" t="n">
        <x:v>4</x:v>
      </x:c>
      <x:c r="D97" s="55" t="str">
        <x:v>093E7CECh</x:v>
      </x:c>
      <x:c r="E97" s="55" t="str">
        <x:v>V4 → V5 (Titan)</x:v>
      </x:c>
      <x:c r="F97" s="55" t="str">
        <x:v>Achat Titan</x:v>
      </x:c>
      <x:c r="G97" s="58" t="n">
        <x:v>1500000</x:v>
      </x:c>
      <x:c r="H97" s="58" t="n">
        <x:v>0</x:v>
      </x:c>
      <x:c r="I97" s="58" t="n">
        <x:v>0</x:v>
      </x:c>
      <x:c r="J97" s="58" t="n">
        <x:v>0</x:v>
      </x:c>
      <x:c r="K97" s="58" t="n">
        <x:v>0</x:v>
      </x:c>
      <x:c r="L97" s="55" t="n">
        <x:v>2</x:v>
      </x:c>
      <x:c r="M97" s="55" t="str">
        <x:v>0 / 0 / 0</x:v>
      </x:c>
      <x:c r="N97" s="55" t="str">
        <x:v>Élevée</x:v>
      </x:c>
    </x:row>
    <x:row r="98">
      <x:c r="A98" s="55" t="str">
        <x:v>Bovinator</x:v>
      </x:c>
      <x:c r="B98" s="55" t="str">
        <x:v>mootator</x:v>
      </x:c>
      <x:c r="C98" s="55" t="n">
        <x:v>5</x:v>
      </x:c>
      <x:c r="D98" s="55" t="str">
        <x:v>093E7D3Ch</x:v>
      </x:c>
      <x:c r="E98" s="55" t="str">
        <x:v>V5 → V6</x:v>
      </x:c>
      <x:c r="F98" s="55" t="str">
        <x:v>—</x:v>
      </x:c>
      <x:c r="G98" s="58" t="n">
        <x:v>0</x:v>
      </x:c>
      <x:c r="H98" s="58" t="n">
        <x:v>50000</x:v>
      </x:c>
      <x:c r="I98" s="58" t="n">
        <x:v>0</x:v>
      </x:c>
      <x:c r="J98" s="58" t="n">
        <x:v>0</x:v>
      </x:c>
      <x:c r="K98" s="58" t="n">
        <x:v>0</x:v>
      </x:c>
      <x:c r="L98" s="55" t="n">
        <x:v>2</x:v>
      </x:c>
      <x:c r="M98" s="55" t="str">
        <x:v>0 / 0 / 0</x:v>
      </x:c>
      <x:c r="N98" s="55" t="str">
        <x:v>Élevée</x:v>
      </x:c>
    </x:row>
    <x:row r="99">
      <x:c r="A99" s="55" t="str">
        <x:v>Bovinator</x:v>
      </x:c>
      <x:c r="B99" s="55" t="str">
        <x:v>mootator</x:v>
      </x:c>
      <x:c r="C99" s="55" t="n">
        <x:v>6</x:v>
      </x:c>
      <x:c r="D99" s="55" t="str">
        <x:v>093E7D8Ch</x:v>
      </x:c>
      <x:c r="E99" s="55" t="str">
        <x:v>V6 → V7</x:v>
      </x:c>
      <x:c r="F99" s="55" t="str">
        <x:v>—</x:v>
      </x:c>
      <x:c r="G99" s="58" t="n">
        <x:v>0</x:v>
      </x:c>
      <x:c r="H99" s="58" t="n">
        <x:v>142000</x:v>
      </x:c>
      <x:c r="I99" s="58" t="n">
        <x:v>0</x:v>
      </x:c>
      <x:c r="J99" s="58" t="n">
        <x:v>0</x:v>
      </x:c>
      <x:c r="K99" s="58" t="n">
        <x:v>0</x:v>
      </x:c>
      <x:c r="L99" s="55" t="n">
        <x:v>2</x:v>
      </x:c>
      <x:c r="M99" s="55" t="str">
        <x:v>0 / 0 / 0</x:v>
      </x:c>
      <x:c r="N99" s="55" t="str">
        <x:v>Élevée</x:v>
      </x:c>
    </x:row>
    <x:row r="100">
      <x:c r="A100" s="55" t="str">
        <x:v>Bovinator</x:v>
      </x:c>
      <x:c r="B100" s="55" t="str">
        <x:v>mootator</x:v>
      </x:c>
      <x:c r="C100" s="55" t="n">
        <x:v>7</x:v>
      </x:c>
      <x:c r="D100" s="55" t="str">
        <x:v>093E7DDCh</x:v>
      </x:c>
      <x:c r="E100" s="55" t="str">
        <x:v>V7 → V8</x:v>
      </x:c>
      <x:c r="F100" s="55" t="str">
        <x:v>—</x:v>
      </x:c>
      <x:c r="G100" s="58" t="n">
        <x:v>0</x:v>
      </x:c>
      <x:c r="H100" s="58" t="n">
        <x:v>225000</x:v>
      </x:c>
      <x:c r="I100" s="58" t="n">
        <x:v>0</x:v>
      </x:c>
      <x:c r="J100" s="58" t="n">
        <x:v>0</x:v>
      </x:c>
      <x:c r="K100" s="58" t="n">
        <x:v>0</x:v>
      </x:c>
      <x:c r="L100" s="55" t="n">
        <x:v>2</x:v>
      </x:c>
      <x:c r="M100" s="55" t="str">
        <x:v>0 / 0 / 0</x:v>
      </x:c>
      <x:c r="N100" s="55" t="str">
        <x:v>Élevée</x:v>
      </x:c>
    </x:row>
    <x:row r="101">
      <x:c r="A101" s="55" t="str">
        <x:v>Bovinator</x:v>
      </x:c>
      <x:c r="B101" s="55" t="str">
        <x:v>mootator</x:v>
      </x:c>
      <x:c r="C101" s="55" t="n">
        <x:v>8</x:v>
      </x:c>
      <x:c r="D101" s="55" t="str">
        <x:v>093E7E2Ch</x:v>
      </x:c>
      <x:c r="E101" s="55" t="str">
        <x:v>Niveau maximum</x:v>
      </x:c>
      <x:c r="F101" s="55" t="str">
        <x:v>—</x:v>
      </x:c>
      <x:c r="G101" s="58" t="n">
        <x:v>0</x:v>
      </x:c>
      <x:c r="H101" s="58" t="n">
        <x:v>0</x:v>
      </x:c>
      <x:c r="I101" s="58" t="n">
        <x:v>0</x:v>
      </x:c>
      <x:c r="J101" s="58" t="n">
        <x:v>0</x:v>
      </x:c>
      <x:c r="K101" s="58" t="n">
        <x:v>0</x:v>
      </x:c>
      <x:c r="L101" s="55" t="n">
        <x:v>2</x:v>
      </x:c>
      <x:c r="M101" s="55" t="str">
        <x:v>0 / 0 / 0</x:v>
      </x:c>
      <x:c r="N101" s="55" t="str">
        <x:v>Élevée</x:v>
      </x:c>
    </x:row>
    <x:row r="102">
      <x:c r="A102" s="55" t="str">
        <x:v>T.E.L.T.</x:v>
      </x:c>
      <x:c r="B102" s="55" t="str">
        <x:v>ryno</x:v>
      </x:c>
      <x:c r="C102" s="55" t="n">
        <x:v>1</x:v>
      </x:c>
      <x:c r="D102" s="55" t="str">
        <x:v>093E8184h</x:v>
      </x:c>
      <x:c r="E102" s="55" t="str">
        <x:v>V1 → V2</x:v>
      </x:c>
      <x:c r="F102" s="55" t="str">
        <x:v>Achat initial</x:v>
      </x:c>
      <x:c r="G102" s="58" t="n">
        <x:v>9999000</x:v>
      </x:c>
      <x:c r="H102" s="58" t="n">
        <x:v>85000</x:v>
      </x:c>
      <x:c r="I102" s="58" t="n">
        <x:v>5000</x:v>
      </x:c>
      <x:c r="J102" s="58" t="n">
        <x:v>30</x:v>
      </x:c>
      <x:c r="K102" s="58" t="n">
        <x:v>5</x:v>
      </x:c>
      <x:c r="L102" s="55" t="n">
        <x:v>3</x:v>
      </x:c>
      <x:c r="M102" s="55" t="str">
        <x:v>800 / 801 / 858</x:v>
      </x:c>
      <x:c r="N102" s="55" t="str">
        <x:v>Élevée</x:v>
      </x:c>
    </x:row>
    <x:row r="103">
      <x:c r="A103" s="55" t="str">
        <x:v>T.E.L.T.</x:v>
      </x:c>
      <x:c r="B103" s="55" t="str">
        <x:v>ryno</x:v>
      </x:c>
      <x:c r="C103" s="55" t="n">
        <x:v>2</x:v>
      </x:c>
      <x:c r="D103" s="55" t="str">
        <x:v>093E81D4h</x:v>
      </x:c>
      <x:c r="E103" s="55" t="str">
        <x:v>V2 → V3</x:v>
      </x:c>
      <x:c r="F103" s="55" t="str">
        <x:v>—</x:v>
      </x:c>
      <x:c r="G103" s="58" t="n">
        <x:v>0</x:v>
      </x:c>
      <x:c r="H103" s="58" t="n">
        <x:v>350000</x:v>
      </x:c>
      <x:c r="I103" s="58" t="n">
        <x:v>5000</x:v>
      </x:c>
      <x:c r="J103" s="58" t="n">
        <x:v>30</x:v>
      </x:c>
      <x:c r="K103" s="58" t="n">
        <x:v>5</x:v>
      </x:c>
      <x:c r="L103" s="55" t="n">
        <x:v>3</x:v>
      </x:c>
      <x:c r="M103" s="55" t="str">
        <x:v>802 / 803 / 859</x:v>
      </x:c>
      <x:c r="N103" s="55" t="str">
        <x:v>Élevée</x:v>
      </x:c>
    </x:row>
    <x:row r="104">
      <x:c r="A104" s="55" t="str">
        <x:v>T.E.L.T.</x:v>
      </x:c>
      <x:c r="B104" s="55" t="str">
        <x:v>ryno</x:v>
      </x:c>
      <x:c r="C104" s="55" t="n">
        <x:v>3</x:v>
      </x:c>
      <x:c r="D104" s="55" t="str">
        <x:v>093E8224h</x:v>
      </x:c>
      <x:c r="E104" s="55" t="str">
        <x:v>V3 → V4</x:v>
      </x:c>
      <x:c r="F104" s="55" t="str">
        <x:v>—</x:v>
      </x:c>
      <x:c r="G104" s="58" t="n">
        <x:v>0</x:v>
      </x:c>
      <x:c r="H104" s="58" t="n">
        <x:v>999000</x:v>
      </x:c>
      <x:c r="I104" s="58" t="n">
        <x:v>5000</x:v>
      </x:c>
      <x:c r="J104" s="58" t="n">
        <x:v>40</x:v>
      </x:c>
      <x:c r="K104" s="58" t="n">
        <x:v>5</x:v>
      </x:c>
      <x:c r="L104" s="55" t="n">
        <x:v>3</x:v>
      </x:c>
      <x:c r="M104" s="55" t="str">
        <x:v>804 / 805 / 860</x:v>
      </x:c>
      <x:c r="N104" s="55" t="str">
        <x:v>Élevée</x:v>
      </x:c>
    </x:row>
    <x:row r="105">
      <x:c r="A105" s="56" t="str">
        <x:v>T.E.L.T.</x:v>
      </x:c>
      <x:c r="B105" s="56" t="str">
        <x:v>ryno</x:v>
      </x:c>
      <x:c r="C105" s="56" t="n">
        <x:v>4</x:v>
      </x:c>
      <x:c r="D105" s="56" t="str">
        <x:v>093E8274h</x:v>
      </x:c>
      <x:c r="E105" s="56" t="str">
        <x:v>Niveau maximum</x:v>
      </x:c>
      <x:c r="F105" s="56" t="str">
        <x:v>—</x:v>
      </x:c>
      <x:c r="G105" s="59" t="n">
        <x:v>0</x:v>
      </x:c>
      <x:c r="H105" s="59" t="n">
        <x:v>0</x:v>
      </x:c>
      <x:c r="I105" s="59" t="n">
        <x:v>5000</x:v>
      </x:c>
      <x:c r="J105" s="59" t="n">
        <x:v>50</x:v>
      </x:c>
      <x:c r="K105" s="59" t="n">
        <x:v>5</x:v>
      </x:c>
      <x:c r="L105" s="56" t="n">
        <x:v>3</x:v>
      </x:c>
      <x:c r="M105" s="56" t="str">
        <x:v>806 / 807 / 861</x:v>
      </x:c>
      <x:c r="N105" s="56" t="str">
        <x:v>Élevée</x:v>
      </x:c>
    </x:row>
  </x:sheetData>
  <x:mergeCells>
    <x:mergeCell ref="A1:N1"/>
    <x:mergeCell ref="A2:N2"/>
  </x:mergeCells>
  <x:conditionalFormatting sqref="N6:N105">
    <x:cfRule type="containsText" dxfId="3" priority="1" operator="containsText" text="Élevée"/>
    <x:cfRule type="containsText" dxfId="4" priority="2" operator="containsText" text="Moyenne"/>
    <x:cfRule type="containsText" dxfId="5" priority="3" operator="containsText" text="Faible"/>
  </x:conditionalFormatting>
  <x:pageMargins left="0.7" right="0.7" top="0.75" bottom="0.75" header="0.3" footer="0.3"/>
  <x:tableParts count="1">
    <x:tablePart xmlns:r="http://schemas.openxmlformats.org/officeDocument/2006/relationships" r:id="Rd46c77d8e3a44a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10" hidden="0" customWidth="1"/>
    <x:col min="4" max="4" width="12" hidden="0" customWidth="1"/>
    <x:col min="5" max="5" width="17" hidden="0" customWidth="1"/>
    <x:col min="6" max="6" width="8" hidden="0" customWidth="1"/>
    <x:col min="7" max="7" width="15" hidden="0" customWidth="1"/>
    <x:col min="8" max="8" width="17" hidden="0" customWidth="1"/>
    <x:col min="9" max="9" width="9" hidden="0" customWidth="1"/>
    <x:col min="10" max="10" width="9" hidden="0" customWidth="1"/>
    <x:col min="11" max="11" width="28" hidden="0" customWidth="1"/>
    <x:col min="12" max="12" width="34" hidden="0" customWidth="1"/>
    <x:col min="13" max="13" width="12" hidden="0" customWidth="1"/>
    <x:col min="14" max="14" width="38" hidden="0" customWidth="1"/>
  </x:cols>
  <x:sheetData>
    <x:row r="1" ht="32" customHeight="1">
      <x:c r="A1" s="3" t="str">
        <x:v>Courbes de dégâts attribuées aux armes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Les colonnes numériques sont liées par formule à la table brute; une même entrée peut servir à plusieurs voies.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5" ht="30" customHeight="1">
      <x:c r="A5" s="47" t="str">
        <x:v>Arme</x:v>
      </x:c>
      <x:c r="B5" s="48" t="str">
        <x:v>Voie / attaque</x:v>
      </x:c>
      <x:c r="C5" s="48" t="str">
        <x:v>Niveau</x:v>
      </x:c>
      <x:c r="D5" s="48" t="str">
        <x:v>Index table</x:v>
      </x:c>
      <x:c r="E5" s="48" t="str">
        <x:v>Adresse runtime</x:v>
      </x:c>
      <x:c r="F5" s="48" t="str">
        <x:v>Type</x:v>
      </x:c>
      <x:c r="G5" s="48" t="str">
        <x:v>Dégâts bruts</x:v>
      </x:c>
      <x:c r="H5" s="48" t="str">
        <x:v>Dégâts effectifs</x:v>
      </x:c>
      <x:c r="I5" s="48" t="str">
        <x:v>Effet</x:v>
      </x:c>
      <x:c r="J5" s="48" t="str">
        <x:v>Flags</x:v>
      </x:c>
      <x:c r="K5" s="48" t="str">
        <x:v>Callsite / preuve</x:v>
      </x:c>
      <x:c r="L5" s="48" t="str">
        <x:v>Attribution</x:v>
      </x:c>
      <x:c r="M5" s="48" t="str">
        <x:v>Confiance</x:v>
      </x:c>
      <x:c r="N5" s="49" t="str">
        <x:v>Notes</x:v>
      </x:c>
    </x:row>
    <x:row r="6">
      <x:c r="A6" s="54" t="str">
        <x:v>Lacérator</x:v>
      </x:c>
      <x:c r="B6" s="54" t="str">
        <x:v>Projectile principal</x:v>
      </x:c>
      <x:c r="C6" s="54" t="n">
        <x:v>1</x:v>
      </x:c>
      <x:c r="D6" s="63" t="n">
        <x:v>1</x:v>
      </x:c>
      <x:c r="E6" s="54" t="str">
        <x:v>09404DDCh</x:v>
      </x:c>
      <x:c r="F6" s="63" t="n">
        <x:f>'Table dégâts brute'!$B$7</x:f>
        <x:v>0</x:v>
      </x:c>
      <x:c r="G6" s="66" t="n">
        <x:f>'Table dégâts brute'!$C$7</x:f>
        <x:v>2.5</x:v>
      </x:c>
      <x:c r="H6" s="66" t="n">
        <x:f>'Table dégâts brute'!$D$7</x:f>
        <x:v>2.5</x:v>
      </x:c>
      <x:c r="I6" s="63" t="n">
        <x:f>'Table dégâts brute'!$E$7</x:f>
        <x:v>5</x:v>
      </x:c>
      <x:c r="J6" s="63" t="n">
        <x:f>'Table dégâts brute'!$F$7</x:f>
        <x:v>2</x:v>
      </x:c>
      <x:c r="K6" s="60" t="str">
        <x:v>Chaîne BlasterShot; index niveau + 1</x:v>
      </x:c>
      <x:c r="L6" s="60" t="str">
        <x:v>Courbe par niveau confirmée</x:v>
      </x:c>
      <x:c r="M6" s="60" t="str">
        <x:v>Élevée</x:v>
      </x:c>
      <x:c r="N6" s="60" t="str"/>
    </x:row>
    <x:row r="7">
      <x:c r="A7" s="55" t="str">
        <x:v>Lacérator</x:v>
      </x:c>
      <x:c r="B7" s="55" t="str">
        <x:v>Projectile principal</x:v>
      </x:c>
      <x:c r="C7" s="55" t="n">
        <x:v>2</x:v>
      </x:c>
      <x:c r="D7" s="64" t="n">
        <x:v>2</x:v>
      </x:c>
      <x:c r="E7" s="55" t="str">
        <x:v>09404DECh</x:v>
      </x:c>
      <x:c r="F7" s="64" t="n">
        <x:f>'Table dégâts brute'!$B$8</x:f>
        <x:v>0</x:v>
      </x:c>
      <x:c r="G7" s="67" t="n">
        <x:f>'Table dégâts brute'!$C$8</x:f>
        <x:v>5</x:v>
      </x:c>
      <x:c r="H7" s="67" t="n">
        <x:f>'Table dégâts brute'!$D$8</x:f>
        <x:v>5</x:v>
      </x:c>
      <x:c r="I7" s="64" t="n">
        <x:f>'Table dégâts brute'!$E$8</x:f>
        <x:v>5</x:v>
      </x:c>
      <x:c r="J7" s="64" t="n">
        <x:f>'Table dégâts brute'!$F$8</x:f>
        <x:v>2</x:v>
      </x:c>
      <x:c r="K7" s="61" t="str">
        <x:v>Chaîne BlasterShot; index niveau + 1</x:v>
      </x:c>
      <x:c r="L7" s="61" t="str">
        <x:v>Courbe par niveau confirmée</x:v>
      </x:c>
      <x:c r="M7" s="61" t="str">
        <x:v>Élevée</x:v>
      </x:c>
      <x:c r="N7" s="61" t="str"/>
    </x:row>
    <x:row r="8">
      <x:c r="A8" s="55" t="str">
        <x:v>Lacérator</x:v>
      </x:c>
      <x:c r="B8" s="55" t="str">
        <x:v>Projectile principal</x:v>
      </x:c>
      <x:c r="C8" s="55" t="n">
        <x:v>3</x:v>
      </x:c>
      <x:c r="D8" s="64" t="n">
        <x:v>3</x:v>
      </x:c>
      <x:c r="E8" s="55" t="str">
        <x:v>09404DFCh</x:v>
      </x:c>
      <x:c r="F8" s="64" t="n">
        <x:f>'Table dégâts brute'!$B$9</x:f>
        <x:v>0</x:v>
      </x:c>
      <x:c r="G8" s="67" t="n">
        <x:f>'Table dégâts brute'!$C$9</x:f>
        <x:v>10</x:v>
      </x:c>
      <x:c r="H8" s="67" t="n">
        <x:f>'Table dégâts brute'!$D$9</x:f>
        <x:v>10</x:v>
      </x:c>
      <x:c r="I8" s="64" t="n">
        <x:f>'Table dégâts brute'!$E$9</x:f>
        <x:v>5</x:v>
      </x:c>
      <x:c r="J8" s="64" t="n">
        <x:f>'Table dégâts brute'!$F$9</x:f>
        <x:v>2</x:v>
      </x:c>
      <x:c r="K8" s="61" t="str">
        <x:v>Chaîne BlasterShot; index niveau + 1</x:v>
      </x:c>
      <x:c r="L8" s="61" t="str">
        <x:v>Courbe par niveau confirmée</x:v>
      </x:c>
      <x:c r="M8" s="61" t="str">
        <x:v>Élevée</x:v>
      </x:c>
      <x:c r="N8" s="61" t="str"/>
    </x:row>
    <x:row r="9">
      <x:c r="A9" s="55" t="str">
        <x:v>Lacérator</x:v>
      </x:c>
      <x:c r="B9" s="55" t="str">
        <x:v>Projectile principal</x:v>
      </x:c>
      <x:c r="C9" s="55" t="n">
        <x:v>4</x:v>
      </x:c>
      <x:c r="D9" s="64" t="n">
        <x:v>4</x:v>
      </x:c>
      <x:c r="E9" s="55" t="str">
        <x:v>09404E0Ch</x:v>
      </x:c>
      <x:c r="F9" s="64" t="n">
        <x:f>'Table dégâts brute'!$B$10</x:f>
        <x:v>0</x:v>
      </x:c>
      <x:c r="G9" s="67" t="n">
        <x:f>'Table dégâts brute'!$C$10</x:f>
        <x:v>12</x:v>
      </x:c>
      <x:c r="H9" s="67" t="n">
        <x:f>'Table dégâts brute'!$D$10</x:f>
        <x:v>12</x:v>
      </x:c>
      <x:c r="I9" s="64" t="n">
        <x:f>'Table dégâts brute'!$E$10</x:f>
        <x:v>5</x:v>
      </x:c>
      <x:c r="J9" s="64" t="n">
        <x:f>'Table dégâts brute'!$F$10</x:f>
        <x:v>2</x:v>
      </x:c>
      <x:c r="K9" s="61" t="str">
        <x:v>Chaîne BlasterShot; index niveau + 1</x:v>
      </x:c>
      <x:c r="L9" s="61" t="str">
        <x:v>Courbe par niveau confirmée</x:v>
      </x:c>
      <x:c r="M9" s="61" t="str">
        <x:v>Élevée</x:v>
      </x:c>
      <x:c r="N9" s="61" t="str"/>
    </x:row>
    <x:row r="10">
      <x:c r="A10" s="55" t="str">
        <x:v>Lacérator</x:v>
      </x:c>
      <x:c r="B10" s="55" t="str">
        <x:v>Projectile principal</x:v>
      </x:c>
      <x:c r="C10" s="55" t="n">
        <x:v>5</x:v>
      </x:c>
      <x:c r="D10" s="64" t="n">
        <x:v>5</x:v>
      </x:c>
      <x:c r="E10" s="55" t="str">
        <x:v>09404E1Ch</x:v>
      </x:c>
      <x:c r="F10" s="64" t="n">
        <x:f>'Table dégâts brute'!$B$11</x:f>
        <x:v>0</x:v>
      </x:c>
      <x:c r="G10" s="67" t="n">
        <x:f>'Table dégâts brute'!$C$11</x:f>
        <x:v>70</x:v>
      </x:c>
      <x:c r="H10" s="67" t="n">
        <x:f>'Table dégâts brute'!$D$11</x:f>
        <x:v>70</x:v>
      </x:c>
      <x:c r="I10" s="64" t="n">
        <x:f>'Table dégâts brute'!$E$11</x:f>
        <x:v>5</x:v>
      </x:c>
      <x:c r="J10" s="64" t="n">
        <x:f>'Table dégâts brute'!$F$11</x:f>
        <x:v>2</x:v>
      </x:c>
      <x:c r="K10" s="61" t="str">
        <x:v>Chaîne BlasterShot; index niveau + 1</x:v>
      </x:c>
      <x:c r="L10" s="61" t="str">
        <x:v>Courbe par niveau confirmée</x:v>
      </x:c>
      <x:c r="M10" s="61" t="str">
        <x:v>Élevée</x:v>
      </x:c>
      <x:c r="N10" s="61" t="str"/>
    </x:row>
    <x:row r="11">
      <x:c r="A11" s="55" t="str">
        <x:v>Lacérator</x:v>
      </x:c>
      <x:c r="B11" s="55" t="str">
        <x:v>Projectile principal</x:v>
      </x:c>
      <x:c r="C11" s="55" t="n">
        <x:v>6</x:v>
      </x:c>
      <x:c r="D11" s="64" t="n">
        <x:v>6</x:v>
      </x:c>
      <x:c r="E11" s="55" t="str">
        <x:v>09404E2Ch</x:v>
      </x:c>
      <x:c r="F11" s="64" t="n">
        <x:f>'Table dégâts brute'!$B$12</x:f>
        <x:v>0</x:v>
      </x:c>
      <x:c r="G11" s="67" t="n">
        <x:f>'Table dégâts brute'!$C$12</x:f>
        <x:v>92</x:v>
      </x:c>
      <x:c r="H11" s="67" t="n">
        <x:f>'Table dégâts brute'!$D$12</x:f>
        <x:v>92</x:v>
      </x:c>
      <x:c r="I11" s="64" t="n">
        <x:f>'Table dégâts brute'!$E$12</x:f>
        <x:v>5</x:v>
      </x:c>
      <x:c r="J11" s="64" t="n">
        <x:f>'Table dégâts brute'!$F$12</x:f>
        <x:v>2</x:v>
      </x:c>
      <x:c r="K11" s="61" t="str">
        <x:v>Chaîne BlasterShot; index niveau + 1</x:v>
      </x:c>
      <x:c r="L11" s="61" t="str">
        <x:v>Courbe par niveau confirmée</x:v>
      </x:c>
      <x:c r="M11" s="61" t="str">
        <x:v>Élevée</x:v>
      </x:c>
      <x:c r="N11" s="61" t="str"/>
    </x:row>
    <x:row r="12">
      <x:c r="A12" s="55" t="str">
        <x:v>Lacérator</x:v>
      </x:c>
      <x:c r="B12" s="55" t="str">
        <x:v>Projectile principal</x:v>
      </x:c>
      <x:c r="C12" s="55" t="n">
        <x:v>7</x:v>
      </x:c>
      <x:c r="D12" s="64" t="n">
        <x:v>7</x:v>
      </x:c>
      <x:c r="E12" s="55" t="str">
        <x:v>09404E3Ch</x:v>
      </x:c>
      <x:c r="F12" s="64" t="n">
        <x:f>'Table dégâts brute'!$B$13</x:f>
        <x:v>0</x:v>
      </x:c>
      <x:c r="G12" s="67" t="n">
        <x:f>'Table dégâts brute'!$C$13</x:f>
        <x:v>128</x:v>
      </x:c>
      <x:c r="H12" s="67" t="n">
        <x:f>'Table dégâts brute'!$D$13</x:f>
        <x:v>128</x:v>
      </x:c>
      <x:c r="I12" s="64" t="n">
        <x:f>'Table dégâts brute'!$E$13</x:f>
        <x:v>5</x:v>
      </x:c>
      <x:c r="J12" s="64" t="n">
        <x:f>'Table dégâts brute'!$F$13</x:f>
        <x:v>2</x:v>
      </x:c>
      <x:c r="K12" s="61" t="str">
        <x:v>Chaîne BlasterShot; index niveau + 1</x:v>
      </x:c>
      <x:c r="L12" s="61" t="str">
        <x:v>Courbe par niveau confirmée</x:v>
      </x:c>
      <x:c r="M12" s="61" t="str">
        <x:v>Élevée</x:v>
      </x:c>
      <x:c r="N12" s="61" t="str"/>
    </x:row>
    <x:row r="13">
      <x:c r="A13" s="55" t="str">
        <x:v>Lacérator</x:v>
      </x:c>
      <x:c r="B13" s="55" t="str">
        <x:v>Projectile principal</x:v>
      </x:c>
      <x:c r="C13" s="55" t="n">
        <x:v>8</x:v>
      </x:c>
      <x:c r="D13" s="64" t="n">
        <x:v>8</x:v>
      </x:c>
      <x:c r="E13" s="55" t="str">
        <x:v>09404E4Ch</x:v>
      </x:c>
      <x:c r="F13" s="64" t="n">
        <x:f>'Table dégâts brute'!$B$14</x:f>
        <x:v>0</x:v>
      </x:c>
      <x:c r="G13" s="67" t="n">
        <x:f>'Table dégâts brute'!$C$14</x:f>
        <x:v>192</x:v>
      </x:c>
      <x:c r="H13" s="67" t="n">
        <x:f>'Table dégâts brute'!$D$14</x:f>
        <x:v>192</x:v>
      </x:c>
      <x:c r="I13" s="64" t="n">
        <x:f>'Table dégâts brute'!$E$14</x:f>
        <x:v>5</x:v>
      </x:c>
      <x:c r="J13" s="64" t="n">
        <x:f>'Table dégâts brute'!$F$14</x:f>
        <x:v>2</x:v>
      </x:c>
      <x:c r="K13" s="61" t="str">
        <x:v>Chaîne BlasterShot; index niveau + 1</x:v>
      </x:c>
      <x:c r="L13" s="61" t="str">
        <x:v>Courbe par niveau confirmée</x:v>
      </x:c>
      <x:c r="M13" s="61" t="str">
        <x:v>Élevée</x:v>
      </x:c>
      <x:c r="N13" s="61" t="str"/>
    </x:row>
    <x:row r="14">
      <x:c r="A14" s="55" t="str">
        <x:v>Tremblator</x:v>
      </x:c>
      <x:c r="B14" s="55" t="str">
        <x:v>Onde principale</x:v>
      </x:c>
      <x:c r="C14" s="55" t="n">
        <x:v>1</x:v>
      </x:c>
      <x:c r="D14" s="64" t="n">
        <x:v>9</x:v>
      </x:c>
      <x:c r="E14" s="55" t="str">
        <x:v>09404E5Ch</x:v>
      </x:c>
      <x:c r="F14" s="64" t="n">
        <x:f>'Table dégâts brute'!$B$15</x:f>
        <x:v>1</x:v>
      </x:c>
      <x:c r="G14" s="67" t="n">
        <x:f>'Table dégâts brute'!$C$15</x:f>
        <x:v>0.05000000447034836</x:v>
      </x:c>
      <x:c r="H14" s="67" t="n">
        <x:f>'Table dégâts brute'!$D$15</x:f>
        <x:v>0.05000000447034836</x:v>
      </x:c>
      <x:c r="I14" s="64" t="n">
        <x:f>'Table dégâts brute'!$E$15</x:f>
        <x:v>5</x:v>
      </x:c>
      <x:c r="J14" s="64" t="n">
        <x:f>'Table dégâts brute'!$F$15</x:f>
        <x:v>0</x:v>
      </x:c>
      <x:c r="K14" s="61" t="str">
        <x:v>Chaîne ConcussionShot</x:v>
      </x:c>
      <x:c r="L14" s="61" t="str">
        <x:v>Bloc contigu et appelant de l’onde</x:v>
      </x:c>
      <x:c r="M14" s="61" t="str">
        <x:v>Élevée</x:v>
      </x:c>
      <x:c r="N14" s="61" t="str"/>
    </x:row>
    <x:row r="15">
      <x:c r="A15" s="55" t="str">
        <x:v>Tremblator</x:v>
      </x:c>
      <x:c r="B15" s="55" t="str">
        <x:v>Onde principale</x:v>
      </x:c>
      <x:c r="C15" s="55" t="n">
        <x:v>2</x:v>
      </x:c>
      <x:c r="D15" s="64" t="n">
        <x:v>10</x:v>
      </x:c>
      <x:c r="E15" s="55" t="str">
        <x:v>09404E6Ch</x:v>
      </x:c>
      <x:c r="F15" s="64" t="n">
        <x:f>'Table dégâts brute'!$B$16</x:f>
        <x:v>1</x:v>
      </x:c>
      <x:c r="G15" s="67" t="n">
        <x:f>'Table dégâts brute'!$C$16</x:f>
        <x:v>0.10000000894069672</x:v>
      </x:c>
      <x:c r="H15" s="67" t="n">
        <x:f>'Table dégâts brute'!$D$16</x:f>
        <x:v>0.10000000894069672</x:v>
      </x:c>
      <x:c r="I15" s="64" t="n">
        <x:f>'Table dégâts brute'!$E$16</x:f>
        <x:v>5</x:v>
      </x:c>
      <x:c r="J15" s="64" t="n">
        <x:f>'Table dégâts brute'!$F$16</x:f>
        <x:v>0</x:v>
      </x:c>
      <x:c r="K15" s="61" t="str">
        <x:v>Chaîne ConcussionShot</x:v>
      </x:c>
      <x:c r="L15" s="61" t="str">
        <x:v>Bloc contigu et appelant de l’onde</x:v>
      </x:c>
      <x:c r="M15" s="61" t="str">
        <x:v>Élevée</x:v>
      </x:c>
      <x:c r="N15" s="61" t="str"/>
    </x:row>
    <x:row r="16">
      <x:c r="A16" s="55" t="str">
        <x:v>Tremblator</x:v>
      </x:c>
      <x:c r="B16" s="55" t="str">
        <x:v>Onde principale</x:v>
      </x:c>
      <x:c r="C16" s="55" t="n">
        <x:v>3</x:v>
      </x:c>
      <x:c r="D16" s="64" t="n">
        <x:v>11</x:v>
      </x:c>
      <x:c r="E16" s="55" t="str">
        <x:v>09404E7Ch</x:v>
      </x:c>
      <x:c r="F16" s="64" t="n">
        <x:f>'Table dégâts brute'!$B$17</x:f>
        <x:v>1</x:v>
      </x:c>
      <x:c r="G16" s="67" t="n">
        <x:f>'Table dégâts brute'!$C$17</x:f>
        <x:v>0.20000001788139343</x:v>
      </x:c>
      <x:c r="H16" s="67" t="n">
        <x:f>'Table dégâts brute'!$D$17</x:f>
        <x:v>0.20000001788139343</x:v>
      </x:c>
      <x:c r="I16" s="64" t="n">
        <x:f>'Table dégâts brute'!$E$17</x:f>
        <x:v>5</x:v>
      </x:c>
      <x:c r="J16" s="64" t="n">
        <x:f>'Table dégâts brute'!$F$17</x:f>
        <x:v>0</x:v>
      </x:c>
      <x:c r="K16" s="61" t="str">
        <x:v>Chaîne ConcussionShot</x:v>
      </x:c>
      <x:c r="L16" s="61" t="str">
        <x:v>Bloc contigu et appelant de l’onde</x:v>
      </x:c>
      <x:c r="M16" s="61" t="str">
        <x:v>Élevée</x:v>
      </x:c>
      <x:c r="N16" s="61" t="str"/>
    </x:row>
    <x:row r="17">
      <x:c r="A17" s="55" t="str">
        <x:v>Tremblator</x:v>
      </x:c>
      <x:c r="B17" s="55" t="str">
        <x:v>Onde principale</x:v>
      </x:c>
      <x:c r="C17" s="55" t="n">
        <x:v>4</x:v>
      </x:c>
      <x:c r="D17" s="64" t="n">
        <x:v>12</x:v>
      </x:c>
      <x:c r="E17" s="55" t="str">
        <x:v>09404E8Ch</x:v>
      </x:c>
      <x:c r="F17" s="64" t="n">
        <x:f>'Table dégâts brute'!$B$18</x:f>
        <x:v>1</x:v>
      </x:c>
      <x:c r="G17" s="67" t="n">
        <x:f>'Table dégâts brute'!$C$18</x:f>
        <x:v>0.40000003576278687</x:v>
      </x:c>
      <x:c r="H17" s="67" t="n">
        <x:f>'Table dégâts brute'!$D$18</x:f>
        <x:v>0.40000003576278687</x:v>
      </x:c>
      <x:c r="I17" s="64" t="n">
        <x:f>'Table dégâts brute'!$E$18</x:f>
        <x:v>5</x:v>
      </x:c>
      <x:c r="J17" s="64" t="n">
        <x:f>'Table dégâts brute'!$F$18</x:f>
        <x:v>0</x:v>
      </x:c>
      <x:c r="K17" s="61" t="str">
        <x:v>Chaîne ConcussionShot</x:v>
      </x:c>
      <x:c r="L17" s="61" t="str">
        <x:v>Bloc contigu et appelant de l’onde</x:v>
      </x:c>
      <x:c r="M17" s="61" t="str">
        <x:v>Élevée</x:v>
      </x:c>
      <x:c r="N17" s="61" t="str"/>
    </x:row>
    <x:row r="18">
      <x:c r="A18" s="55" t="str">
        <x:v>Tremblator</x:v>
      </x:c>
      <x:c r="B18" s="55" t="str">
        <x:v>Onde principale</x:v>
      </x:c>
      <x:c r="C18" s="55" t="n">
        <x:v>5</x:v>
      </x:c>
      <x:c r="D18" s="64" t="n">
        <x:v>13</x:v>
      </x:c>
      <x:c r="E18" s="55" t="str">
        <x:v>09404E9Ch</x:v>
      </x:c>
      <x:c r="F18" s="64" t="n">
        <x:f>'Table dégâts brute'!$B$19</x:f>
        <x:v>1</x:v>
      </x:c>
      <x:c r="G18" s="67" t="n">
        <x:f>'Table dégâts brute'!$C$19</x:f>
        <x:v>1.933333396911621</x:v>
      </x:c>
      <x:c r="H18" s="67" t="n">
        <x:f>'Table dégâts brute'!$D$19</x:f>
        <x:v>1.933333396911621</x:v>
      </x:c>
      <x:c r="I18" s="64" t="n">
        <x:f>'Table dégâts brute'!$E$19</x:f>
        <x:v>5</x:v>
      </x:c>
      <x:c r="J18" s="64" t="n">
        <x:f>'Table dégâts brute'!$F$19</x:f>
        <x:v>0</x:v>
      </x:c>
      <x:c r="K18" s="61" t="str">
        <x:v>Chaîne ConcussionShot</x:v>
      </x:c>
      <x:c r="L18" s="61" t="str">
        <x:v>Bloc contigu et appelant de l’onde</x:v>
      </x:c>
      <x:c r="M18" s="61" t="str">
        <x:v>Élevée</x:v>
      </x:c>
      <x:c r="N18" s="61" t="str"/>
    </x:row>
    <x:row r="19">
      <x:c r="A19" s="55" t="str">
        <x:v>Tremblator</x:v>
      </x:c>
      <x:c r="B19" s="55" t="str">
        <x:v>Onde principale</x:v>
      </x:c>
      <x:c r="C19" s="55" t="n">
        <x:v>6</x:v>
      </x:c>
      <x:c r="D19" s="64" t="n">
        <x:v>14</x:v>
      </x:c>
      <x:c r="E19" s="55" t="str">
        <x:v>09404EACh</x:v>
      </x:c>
      <x:c r="F19" s="64" t="n">
        <x:f>'Table dégâts brute'!$B$20</x:f>
        <x:v>1</x:v>
      </x:c>
      <x:c r="G19" s="67" t="n">
        <x:f>'Table dégâts brute'!$C$20</x:f>
        <x:v>2.7333335876464844</x:v>
      </x:c>
      <x:c r="H19" s="67" t="n">
        <x:f>'Table dégâts brute'!$D$20</x:f>
        <x:v>2.7333335876464844</x:v>
      </x:c>
      <x:c r="I19" s="64" t="n">
        <x:f>'Table dégâts brute'!$E$20</x:f>
        <x:v>5</x:v>
      </x:c>
      <x:c r="J19" s="64" t="n">
        <x:f>'Table dégâts brute'!$F$20</x:f>
        <x:v>0</x:v>
      </x:c>
      <x:c r="K19" s="61" t="str">
        <x:v>Chaîne ConcussionShot</x:v>
      </x:c>
      <x:c r="L19" s="61" t="str">
        <x:v>Bloc contigu et appelant de l’onde</x:v>
      </x:c>
      <x:c r="M19" s="61" t="str">
        <x:v>Élevée</x:v>
      </x:c>
      <x:c r="N19" s="61" t="str"/>
    </x:row>
    <x:row r="20">
      <x:c r="A20" s="55" t="str">
        <x:v>Tremblator</x:v>
      </x:c>
      <x:c r="B20" s="55" t="str">
        <x:v>Onde principale</x:v>
      </x:c>
      <x:c r="C20" s="55" t="n">
        <x:v>7</x:v>
      </x:c>
      <x:c r="D20" s="64" t="n">
        <x:v>15</x:v>
      </x:c>
      <x:c r="E20" s="55" t="str">
        <x:v>09404EBCh</x:v>
      </x:c>
      <x:c r="F20" s="64" t="n">
        <x:f>'Table dégâts brute'!$B$21</x:f>
        <x:v>1</x:v>
      </x:c>
      <x:c r="G20" s="67" t="n">
        <x:f>'Table dégâts brute'!$C$21</x:f>
        <x:v>4</x:v>
      </x:c>
      <x:c r="H20" s="67" t="n">
        <x:f>'Table dégâts brute'!$D$21</x:f>
        <x:v>4</x:v>
      </x:c>
      <x:c r="I20" s="64" t="n">
        <x:f>'Table dégâts brute'!$E$21</x:f>
        <x:v>5</x:v>
      </x:c>
      <x:c r="J20" s="64" t="n">
        <x:f>'Table dégâts brute'!$F$21</x:f>
        <x:v>0</x:v>
      </x:c>
      <x:c r="K20" s="61" t="str">
        <x:v>Chaîne ConcussionShot</x:v>
      </x:c>
      <x:c r="L20" s="61" t="str">
        <x:v>Bloc contigu et appelant de l’onde</x:v>
      </x:c>
      <x:c r="M20" s="61" t="str">
        <x:v>Élevée</x:v>
      </x:c>
      <x:c r="N20" s="61" t="str"/>
    </x:row>
    <x:row r="21">
      <x:c r="A21" s="55" t="str">
        <x:v>Tremblator</x:v>
      </x:c>
      <x:c r="B21" s="55" t="str">
        <x:v>Onde principale</x:v>
      </x:c>
      <x:c r="C21" s="55" t="n">
        <x:v>8</x:v>
      </x:c>
      <x:c r="D21" s="64" t="n">
        <x:v>16</x:v>
      </x:c>
      <x:c r="E21" s="55" t="str">
        <x:v>09404ECCh</x:v>
      </x:c>
      <x:c r="F21" s="64" t="n">
        <x:f>'Table dégâts brute'!$B$22</x:f>
        <x:v>1</x:v>
      </x:c>
      <x:c r="G21" s="67" t="n">
        <x:f>'Table dégâts brute'!$C$22</x:f>
        <x:v>6.40000057220459</x:v>
      </x:c>
      <x:c r="H21" s="67" t="n">
        <x:f>'Table dégâts brute'!$D$22</x:f>
        <x:v>6.40000057220459</x:v>
      </x:c>
      <x:c r="I21" s="64" t="n">
        <x:f>'Table dégâts brute'!$E$22</x:f>
        <x:v>5</x:v>
      </x:c>
      <x:c r="J21" s="64" t="n">
        <x:f>'Table dégâts brute'!$F$22</x:f>
        <x:v>0</x:v>
      </x:c>
      <x:c r="K21" s="61" t="str">
        <x:v>Chaîne ConcussionShot</x:v>
      </x:c>
      <x:c r="L21" s="61" t="str">
        <x:v>Bloc contigu et appelant de l’onde</x:v>
      </x:c>
      <x:c r="M21" s="61" t="str">
        <x:v>Élevée</x:v>
      </x:c>
      <x:c r="N21" s="61" t="str"/>
    </x:row>
    <x:row r="22">
      <x:c r="A22" s="55" t="str">
        <x:v>Tremblator</x:v>
      </x:c>
      <x:c r="B22" s="55" t="str">
        <x:v>Impact secondaire / garde</x:v>
      </x:c>
      <x:c r="C22" s="55" t="str">
        <x:v>—</x:v>
      </x:c>
      <x:c r="D22" s="64" t="n">
        <x:v>17</x:v>
      </x:c>
      <x:c r="E22" s="55" t="str">
        <x:v>09404EDCh</x:v>
      </x:c>
      <x:c r="F22" s="64" t="n">
        <x:f>'Table dégâts brute'!$B$23</x:f>
        <x:v>1</x:v>
      </x:c>
      <x:c r="G22" s="67" t="n">
        <x:f>'Table dégâts brute'!$C$23</x:f>
        <x:v>0.5333333611488342</x:v>
      </x:c>
      <x:c r="H22" s="67" t="n">
        <x:f>'Table dégâts brute'!$D$23</x:f>
        <x:v>0.5333333611488342</x:v>
      </x:c>
      <x:c r="I22" s="64" t="n">
        <x:f>'Table dégâts brute'!$E$23</x:f>
        <x:v>0</x:v>
      </x:c>
      <x:c r="J22" s="64" t="n">
        <x:f>'Table dégâts brute'!$F$23</x:f>
        <x:v>0</x:v>
      </x:c>
      <x:c r="K22" s="61" t="str">
        <x:v>Chemins fixes de l’onde</x:v>
      </x:c>
      <x:c r="L22" s="61" t="str">
        <x:v>Usage secondaire confirmé, rôle précis à tester</x:v>
      </x:c>
      <x:c r="M22" s="61" t="str">
        <x:v>Moyenne</x:v>
      </x:c>
      <x:c r="N22" s="61" t="str"/>
    </x:row>
    <x:row r="23">
      <x:c r="A23" s="55" t="str">
        <x:v>Tremblator</x:v>
      </x:c>
      <x:c r="B23" s="55" t="str">
        <x:v>Impact secondaire / garde</x:v>
      </x:c>
      <x:c r="C23" s="55" t="str">
        <x:v>—</x:v>
      </x:c>
      <x:c r="D23" s="64" t="n">
        <x:v>18</x:v>
      </x:c>
      <x:c r="E23" s="55" t="str">
        <x:v>09404EECh</x:v>
      </x:c>
      <x:c r="F23" s="64" t="n">
        <x:f>'Table dégâts brute'!$B$24</x:f>
        <x:v>1</x:v>
      </x:c>
      <x:c r="G23" s="67" t="n">
        <x:f>'Table dégâts brute'!$C$24</x:f>
        <x:v>0.5333333611488342</x:v>
      </x:c>
      <x:c r="H23" s="67" t="n">
        <x:f>'Table dégâts brute'!$D$24</x:f>
        <x:v>0.5333333611488342</x:v>
      </x:c>
      <x:c r="I23" s="64" t="n">
        <x:f>'Table dégâts brute'!$E$24</x:f>
        <x:v>0</x:v>
      </x:c>
      <x:c r="J23" s="64" t="n">
        <x:f>'Table dégâts brute'!$F$24</x:f>
        <x:v>0</x:v>
      </x:c>
      <x:c r="K23" s="61" t="str">
        <x:v>Chemins fixes de l’onde</x:v>
      </x:c>
      <x:c r="L23" s="61" t="str">
        <x:v>Usage secondaire confirmé, rôle précis à tester</x:v>
      </x:c>
      <x:c r="M23" s="61" t="str">
        <x:v>Moyenne</x:v>
      </x:c>
      <x:c r="N23" s="61" t="str"/>
    </x:row>
    <x:row r="24">
      <x:c r="A24" s="55" t="str">
        <x:v>Gant à Bombacide</x:v>
      </x:c>
      <x:c r="B24" s="55" t="str">
        <x:v>Impact direct</x:v>
      </x:c>
      <x:c r="C24" s="55" t="str">
        <x:v>—</x:v>
      </x:c>
      <x:c r="D24" s="64" t="n">
        <x:v>17</x:v>
      </x:c>
      <x:c r="E24" s="55" t="str">
        <x:v>09404EDCh</x:v>
      </x:c>
      <x:c r="F24" s="64" t="n">
        <x:f>'Table dégâts brute'!$B$23</x:f>
        <x:v>1</x:v>
      </x:c>
      <x:c r="G24" s="67" t="n">
        <x:f>'Table dégâts brute'!$C$23</x:f>
        <x:v>0.5333333611488342</x:v>
      </x:c>
      <x:c r="H24" s="67" t="n">
        <x:f>'Table dégâts brute'!$D$23</x:f>
        <x:v>0.5333333611488342</x:v>
      </x:c>
      <x:c r="I24" s="64" t="n">
        <x:f>'Table dégâts brute'!$E$23</x:f>
        <x:v>0</x:v>
      </x:c>
      <x:c r="J24" s="64" t="n">
        <x:f>'Table dégâts brute'!$F$23</x:f>
        <x:v>0</x:v>
      </x:c>
      <x:c r="K24" s="61" t="str">
        <x:v>Collision AcidBomb</x:v>
      </x:c>
      <x:c r="L24" s="61" t="str">
        <x:v>Index fixe partagé</x:v>
      </x:c>
      <x:c r="M24" s="61" t="str">
        <x:v>Élevée</x:v>
      </x:c>
      <x:c r="N24" s="61" t="str">
        <x:v>Le même index 17 apparaît aussi dans une voie secondaire du Tremblator.</x:v>
      </x:c>
    </x:row>
    <x:row r="25">
      <x:c r="A25" s="55" t="str">
        <x:v>Gant à Bombacide</x:v>
      </x:c>
      <x:c r="B25" s="55" t="str">
        <x:v>Statut acide A/B</x:v>
      </x:c>
      <x:c r="C25" s="55" t="str">
        <x:v>—</x:v>
      </x:c>
      <x:c r="D25" s="64" t="n">
        <x:v>19</x:v>
      </x:c>
      <x:c r="E25" s="55" t="str">
        <x:v>09404EFCh</x:v>
      </x:c>
      <x:c r="F25" s="64" t="n">
        <x:f>'Table dégâts brute'!$B$25</x:f>
        <x:v>0</x:v>
      </x:c>
      <x:c r="G25" s="67" t="n">
        <x:f>'Table dégâts brute'!$C$25</x:f>
        <x:v>0</x:v>
      </x:c>
      <x:c r="H25" s="67" t="n">
        <x:f>'Table dégâts brute'!$D$25</x:f>
        <x:v>0</x:v>
      </x:c>
      <x:c r="I25" s="64" t="n">
        <x:f>'Table dégâts brute'!$E$25</x:f>
        <x:v>6</x:v>
      </x:c>
      <x:c r="J25" s="64" t="n">
        <x:f>'Table dégâts brute'!$F$25</x:f>
        <x:v>0</x:v>
      </x:c>
      <x:c r="K25" s="61" t="str">
        <x:v>Chaîne Acid/Epoxy</x:v>
      </x:c>
      <x:c r="L25" s="61" t="str">
        <x:v>Dégâts nuls, effets 6 et 7</x:v>
      </x:c>
      <x:c r="M25" s="61" t="str">
        <x:v>Élevée</x:v>
      </x:c>
      <x:c r="N25" s="61" t="str"/>
    </x:row>
    <x:row r="26">
      <x:c r="A26" s="55" t="str">
        <x:v>Gant à Bombacide</x:v>
      </x:c>
      <x:c r="B26" s="55" t="str">
        <x:v>Statut acide A/B</x:v>
      </x:c>
      <x:c r="C26" s="55" t="str">
        <x:v>—</x:v>
      </x:c>
      <x:c r="D26" s="64" t="n">
        <x:v>20</x:v>
      </x:c>
      <x:c r="E26" s="55" t="str">
        <x:v>09404F0Ch</x:v>
      </x:c>
      <x:c r="F26" s="64" t="n">
        <x:f>'Table dégâts brute'!$B$26</x:f>
        <x:v>0</x:v>
      </x:c>
      <x:c r="G26" s="67" t="n">
        <x:f>'Table dégâts brute'!$C$26</x:f>
        <x:v>0</x:v>
      </x:c>
      <x:c r="H26" s="67" t="n">
        <x:f>'Table dégâts brute'!$D$26</x:f>
        <x:v>0</x:v>
      </x:c>
      <x:c r="I26" s="64" t="n">
        <x:f>'Table dégâts brute'!$E$26</x:f>
        <x:v>7</x:v>
      </x:c>
      <x:c r="J26" s="64" t="n">
        <x:f>'Table dégâts brute'!$F$26</x:f>
        <x:v>0</x:v>
      </x:c>
      <x:c r="K26" s="61" t="str">
        <x:v>Chaîne Acid/Epoxy</x:v>
      </x:c>
      <x:c r="L26" s="61" t="str">
        <x:v>Dégâts nuls, effets 6 et 7</x:v>
      </x:c>
      <x:c r="M26" s="61" t="str">
        <x:v>Élevée</x:v>
      </x:c>
      <x:c r="N26" s="61" t="str"/>
    </x:row>
    <x:row r="27">
      <x:c r="A27" s="55" t="str">
        <x:v>Agents Ravageurs</x:v>
      </x:c>
      <x:c r="B27" s="55" t="str">
        <x:v>Contacts auxiliaires</x:v>
      </x:c>
      <x:c r="C27" s="55" t="str">
        <x:v>—</x:v>
      </x:c>
      <x:c r="D27" s="64" t="n">
        <x:v>21</x:v>
      </x:c>
      <x:c r="E27" s="55" t="str">
        <x:v>09404F1Ch</x:v>
      </x:c>
      <x:c r="F27" s="64" t="n">
        <x:f>'Table dégâts brute'!$B$27</x:f>
        <x:v>0</x:v>
      </x:c>
      <x:c r="G27" s="67" t="n">
        <x:f>'Table dégâts brute'!$C$27</x:f>
        <x:v>2</x:v>
      </x:c>
      <x:c r="H27" s="67" t="n">
        <x:f>'Table dégâts brute'!$D$27</x:f>
        <x:v>2</x:v>
      </x:c>
      <x:c r="I27" s="64" t="n">
        <x:f>'Table dégâts brute'!$E$27</x:f>
        <x:v>2</x:v>
      </x:c>
      <x:c r="J27" s="64" t="n">
        <x:f>'Table dégâts brute'!$F$27</x:f>
        <x:v>1</x:v>
      </x:c>
      <x:c r="K27" s="61" t="str">
        <x:v>Agent/rocket auxiliaires</x:v>
      </x:c>
      <x:c r="L27" s="61" t="str">
        <x:v>Indices fixes; sous-rôle exact selon mod</x:v>
      </x:c>
      <x:c r="M27" s="61" t="str">
        <x:v>Moyenne</x:v>
      </x:c>
      <x:c r="N27" s="61" t="str"/>
    </x:row>
    <x:row r="28">
      <x:c r="A28" s="55" t="str">
        <x:v>Agents Ravageurs</x:v>
      </x:c>
      <x:c r="B28" s="55" t="str">
        <x:v>Contacts auxiliaires</x:v>
      </x:c>
      <x:c r="C28" s="55" t="str">
        <x:v>—</x:v>
      </x:c>
      <x:c r="D28" s="64" t="n">
        <x:v>22</x:v>
      </x:c>
      <x:c r="E28" s="55" t="str">
        <x:v>09404F2Ch</x:v>
      </x:c>
      <x:c r="F28" s="64" t="n">
        <x:f>'Table dégâts brute'!$B$28</x:f>
        <x:v>0</x:v>
      </x:c>
      <x:c r="G28" s="67" t="n">
        <x:f>'Table dégâts brute'!$C$28</x:f>
        <x:v>2</x:v>
      </x:c>
      <x:c r="H28" s="67" t="n">
        <x:f>'Table dégâts brute'!$D$28</x:f>
        <x:v>2</x:v>
      </x:c>
      <x:c r="I28" s="64" t="n">
        <x:f>'Table dégâts brute'!$E$28</x:f>
        <x:v>2</x:v>
      </x:c>
      <x:c r="J28" s="64" t="n">
        <x:f>'Table dégâts brute'!$F$28</x:f>
        <x:v>1</x:v>
      </x:c>
      <x:c r="K28" s="61" t="str">
        <x:v>Agent/rocket auxiliaires</x:v>
      </x:c>
      <x:c r="L28" s="61" t="str">
        <x:v>Indices fixes; sous-rôle exact selon mod</x:v>
      </x:c>
      <x:c r="M28" s="61" t="str">
        <x:v>Moyenne</x:v>
      </x:c>
      <x:c r="N28" s="61" t="str"/>
    </x:row>
    <x:row r="29">
      <x:c r="A29" s="55" t="str">
        <x:v>Agents Ravageurs</x:v>
      </x:c>
      <x:c r="B29" s="55" t="str">
        <x:v>Contacts auxiliaires</x:v>
      </x:c>
      <x:c r="C29" s="55" t="str">
        <x:v>—</x:v>
      </x:c>
      <x:c r="D29" s="64" t="n">
        <x:v>23</x:v>
      </x:c>
      <x:c r="E29" s="55" t="str">
        <x:v>09404F3Ch</x:v>
      </x:c>
      <x:c r="F29" s="64" t="n">
        <x:f>'Table dégâts brute'!$B$29</x:f>
        <x:v>0</x:v>
      </x:c>
      <x:c r="G29" s="67" t="n">
        <x:f>'Table dégâts brute'!$C$29</x:f>
        <x:v>3.5</x:v>
      </x:c>
      <x:c r="H29" s="67" t="n">
        <x:f>'Table dégâts brute'!$D$29</x:f>
        <x:v>3.5</x:v>
      </x:c>
      <x:c r="I29" s="64" t="n">
        <x:f>'Table dégâts brute'!$E$29</x:f>
        <x:v>0</x:v>
      </x:c>
      <x:c r="J29" s="64" t="n">
        <x:f>'Table dégâts brute'!$F$29</x:f>
        <x:v>1</x:v>
      </x:c>
      <x:c r="K29" s="61" t="str">
        <x:v>Agent/rocket auxiliaires</x:v>
      </x:c>
      <x:c r="L29" s="61" t="str">
        <x:v>Indices fixes; sous-rôle exact selon mod</x:v>
      </x:c>
      <x:c r="M29" s="61" t="str">
        <x:v>Moyenne</x:v>
      </x:c>
      <x:c r="N29" s="61" t="str"/>
    </x:row>
    <x:row r="30">
      <x:c r="A30" s="55" t="str">
        <x:v>Agents Ravageurs</x:v>
      </x:c>
      <x:c r="B30" s="55" t="str">
        <x:v>Contacts auxiliaires</x:v>
      </x:c>
      <x:c r="C30" s="55" t="str">
        <x:v>—</x:v>
      </x:c>
      <x:c r="D30" s="64" t="n">
        <x:v>24</x:v>
      </x:c>
      <x:c r="E30" s="55" t="str">
        <x:v>09404F4Ch</x:v>
      </x:c>
      <x:c r="F30" s="64" t="n">
        <x:f>'Table dégâts brute'!$B$30</x:f>
        <x:v>0</x:v>
      </x:c>
      <x:c r="G30" s="67" t="n">
        <x:f>'Table dégâts brute'!$C$30</x:f>
        <x:v>5</x:v>
      </x:c>
      <x:c r="H30" s="67" t="n">
        <x:f>'Table dégâts brute'!$D$30</x:f>
        <x:v>5</x:v>
      </x:c>
      <x:c r="I30" s="64" t="n">
        <x:f>'Table dégâts brute'!$E$30</x:f>
        <x:v>0</x:v>
      </x:c>
      <x:c r="J30" s="64" t="n">
        <x:f>'Table dégâts brute'!$F$30</x:f>
        <x:v>1</x:v>
      </x:c>
      <x:c r="K30" s="61" t="str">
        <x:v>Agent/rocket auxiliaires</x:v>
      </x:c>
      <x:c r="L30" s="61" t="str">
        <x:v>Indices fixes; sous-rôle exact selon mod</x:v>
      </x:c>
      <x:c r="M30" s="61" t="str">
        <x:v>Moyenne</x:v>
      </x:c>
      <x:c r="N30" s="61" t="str"/>
    </x:row>
    <x:row r="31">
      <x:c r="A31" s="55" t="str">
        <x:v>Agents Ravageurs</x:v>
      </x:c>
      <x:c r="B31" s="55" t="str">
        <x:v>Laser d’agent</x:v>
      </x:c>
      <x:c r="C31" s="55" t="n">
        <x:v>1</x:v>
      </x:c>
      <x:c r="D31" s="64" t="n">
        <x:v>25</x:v>
      </x:c>
      <x:c r="E31" s="55" t="str">
        <x:v>09404F5Ch</x:v>
      </x:c>
      <x:c r="F31" s="64" t="n">
        <x:f>'Table dégâts brute'!$B$31</x:f>
        <x:v>0</x:v>
      </x:c>
      <x:c r="G31" s="67" t="n">
        <x:f>'Table dégâts brute'!$C$31</x:f>
        <x:v>1.5</x:v>
      </x:c>
      <x:c r="H31" s="67" t="n">
        <x:f>'Table dégâts brute'!$D$31</x:f>
        <x:v>1.5</x:v>
      </x:c>
      <x:c r="I31" s="64" t="n">
        <x:f>'Table dégâts brute'!$E$31</x:f>
        <x:v>0</x:v>
      </x:c>
      <x:c r="J31" s="64" t="n">
        <x:f>'Table dégâts brute'!$F$31</x:f>
        <x:v>1</x:v>
      </x:c>
      <x:c r="K31" s="61" t="str">
        <x:v>Table 0x09407294</x:v>
      </x:c>
      <x:c r="L31" s="61" t="str">
        <x:v>Lookup V1–V8 confirmé</x:v>
      </x:c>
      <x:c r="M31" s="61" t="str">
        <x:v>Élevée</x:v>
      </x:c>
      <x:c r="N31" s="61" t="str"/>
    </x:row>
    <x:row r="32">
      <x:c r="A32" s="55" t="str">
        <x:v>Agents Ravageurs</x:v>
      </x:c>
      <x:c r="B32" s="55" t="str">
        <x:v>Laser d’agent</x:v>
      </x:c>
      <x:c r="C32" s="55" t="n">
        <x:v>2</x:v>
      </x:c>
      <x:c r="D32" s="64" t="n">
        <x:v>25</x:v>
      </x:c>
      <x:c r="E32" s="55" t="str">
        <x:v>09404F5Ch</x:v>
      </x:c>
      <x:c r="F32" s="64" t="n">
        <x:f>'Table dégâts brute'!$B$31</x:f>
        <x:v>0</x:v>
      </x:c>
      <x:c r="G32" s="67" t="n">
        <x:f>'Table dégâts brute'!$C$31</x:f>
        <x:v>1.5</x:v>
      </x:c>
      <x:c r="H32" s="67" t="n">
        <x:f>'Table dégâts brute'!$D$31</x:f>
        <x:v>1.5</x:v>
      </x:c>
      <x:c r="I32" s="64" t="n">
        <x:f>'Table dégâts brute'!$E$31</x:f>
        <x:v>0</x:v>
      </x:c>
      <x:c r="J32" s="64" t="n">
        <x:f>'Table dégâts brute'!$F$31</x:f>
        <x:v>1</x:v>
      </x:c>
      <x:c r="K32" s="61" t="str">
        <x:v>Table 0x09407294</x:v>
      </x:c>
      <x:c r="L32" s="61" t="str">
        <x:v>Lookup V1–V8 confirmé</x:v>
      </x:c>
      <x:c r="M32" s="61" t="str">
        <x:v>Élevée</x:v>
      </x:c>
      <x:c r="N32" s="61" t="str"/>
    </x:row>
    <x:row r="33">
      <x:c r="A33" s="55" t="str">
        <x:v>Agents Ravageurs</x:v>
      </x:c>
      <x:c r="B33" s="55" t="str">
        <x:v>Laser d’agent</x:v>
      </x:c>
      <x:c r="C33" s="55" t="n">
        <x:v>3</x:v>
      </x:c>
      <x:c r="D33" s="64" t="n">
        <x:v>25</x:v>
      </x:c>
      <x:c r="E33" s="55" t="str">
        <x:v>09404F5Ch</x:v>
      </x:c>
      <x:c r="F33" s="64" t="n">
        <x:f>'Table dégâts brute'!$B$31</x:f>
        <x:v>0</x:v>
      </x:c>
      <x:c r="G33" s="67" t="n">
        <x:f>'Table dégâts brute'!$C$31</x:f>
        <x:v>1.5</x:v>
      </x:c>
      <x:c r="H33" s="67" t="n">
        <x:f>'Table dégâts brute'!$D$31</x:f>
        <x:v>1.5</x:v>
      </x:c>
      <x:c r="I33" s="64" t="n">
        <x:f>'Table dégâts brute'!$E$31</x:f>
        <x:v>0</x:v>
      </x:c>
      <x:c r="J33" s="64" t="n">
        <x:f>'Table dégâts brute'!$F$31</x:f>
        <x:v>1</x:v>
      </x:c>
      <x:c r="K33" s="61" t="str">
        <x:v>Table 0x09407294</x:v>
      </x:c>
      <x:c r="L33" s="61" t="str">
        <x:v>Lookup V1–V8 confirmé</x:v>
      </x:c>
      <x:c r="M33" s="61" t="str">
        <x:v>Élevée</x:v>
      </x:c>
      <x:c r="N33" s="61" t="str"/>
    </x:row>
    <x:row r="34">
      <x:c r="A34" s="55" t="str">
        <x:v>Agents Ravageurs</x:v>
      </x:c>
      <x:c r="B34" s="55" t="str">
        <x:v>Laser d’agent</x:v>
      </x:c>
      <x:c r="C34" s="55" t="n">
        <x:v>4</x:v>
      </x:c>
      <x:c r="D34" s="64" t="n">
        <x:v>26</x:v>
      </x:c>
      <x:c r="E34" s="55" t="str">
        <x:v>09404F6Ch</x:v>
      </x:c>
      <x:c r="F34" s="64" t="n">
        <x:f>'Table dégâts brute'!$B$32</x:f>
        <x:v>0</x:v>
      </x:c>
      <x:c r="G34" s="67" t="n">
        <x:f>'Table dégâts brute'!$C$32</x:f>
        <x:v>3</x:v>
      </x:c>
      <x:c r="H34" s="67" t="n">
        <x:f>'Table dégâts brute'!$D$32</x:f>
        <x:v>3</x:v>
      </x:c>
      <x:c r="I34" s="64" t="n">
        <x:f>'Table dégâts brute'!$E$32</x:f>
        <x:v>0</x:v>
      </x:c>
      <x:c r="J34" s="64" t="n">
        <x:f>'Table dégâts brute'!$F$32</x:f>
        <x:v>1</x:v>
      </x:c>
      <x:c r="K34" s="61" t="str">
        <x:v>Table 0x09407294</x:v>
      </x:c>
      <x:c r="L34" s="61" t="str">
        <x:v>Lookup V1–V8 confirmé</x:v>
      </x:c>
      <x:c r="M34" s="61" t="str">
        <x:v>Élevée</x:v>
      </x:c>
      <x:c r="N34" s="61" t="str"/>
    </x:row>
    <x:row r="35">
      <x:c r="A35" s="55" t="str">
        <x:v>Agents Ravageurs</x:v>
      </x:c>
      <x:c r="B35" s="55" t="str">
        <x:v>Laser d’agent</x:v>
      </x:c>
      <x:c r="C35" s="55" t="n">
        <x:v>5</x:v>
      </x:c>
      <x:c r="D35" s="64" t="n">
        <x:v>27</x:v>
      </x:c>
      <x:c r="E35" s="55" t="str">
        <x:v>09404F7Ch</x:v>
      </x:c>
      <x:c r="F35" s="64" t="n">
        <x:f>'Table dégâts brute'!$B$33</x:f>
        <x:v>0</x:v>
      </x:c>
      <x:c r="G35" s="67" t="n">
        <x:f>'Table dégâts brute'!$C$33</x:f>
        <x:v>10</x:v>
      </x:c>
      <x:c r="H35" s="67" t="n">
        <x:f>'Table dégâts brute'!$D$33</x:f>
        <x:v>10</x:v>
      </x:c>
      <x:c r="I35" s="64" t="n">
        <x:f>'Table dégâts brute'!$E$33</x:f>
        <x:v>0</x:v>
      </x:c>
      <x:c r="J35" s="64" t="n">
        <x:f>'Table dégâts brute'!$F$33</x:f>
        <x:v>1</x:v>
      </x:c>
      <x:c r="K35" s="61" t="str">
        <x:v>Table 0x09407294</x:v>
      </x:c>
      <x:c r="L35" s="61" t="str">
        <x:v>Lookup V1–V8 confirmé</x:v>
      </x:c>
      <x:c r="M35" s="61" t="str">
        <x:v>Élevée</x:v>
      </x:c>
      <x:c r="N35" s="61" t="str"/>
    </x:row>
    <x:row r="36">
      <x:c r="A36" s="55" t="str">
        <x:v>Agents Ravageurs</x:v>
      </x:c>
      <x:c r="B36" s="55" t="str">
        <x:v>Laser d’agent</x:v>
      </x:c>
      <x:c r="C36" s="55" t="n">
        <x:v>6</x:v>
      </x:c>
      <x:c r="D36" s="64" t="n">
        <x:v>28</x:v>
      </x:c>
      <x:c r="E36" s="55" t="str">
        <x:v>09404F8Ch</x:v>
      </x:c>
      <x:c r="F36" s="64" t="n">
        <x:f>'Table dégâts brute'!$B$34</x:f>
        <x:v>0</x:v>
      </x:c>
      <x:c r="G36" s="67" t="n">
        <x:f>'Table dégâts brute'!$C$34</x:f>
        <x:v>15</x:v>
      </x:c>
      <x:c r="H36" s="67" t="n">
        <x:f>'Table dégâts brute'!$D$34</x:f>
        <x:v>15</x:v>
      </x:c>
      <x:c r="I36" s="64" t="n">
        <x:f>'Table dégâts brute'!$E$34</x:f>
        <x:v>0</x:v>
      </x:c>
      <x:c r="J36" s="64" t="n">
        <x:f>'Table dégâts brute'!$F$34</x:f>
        <x:v>1</x:v>
      </x:c>
      <x:c r="K36" s="61" t="str">
        <x:v>Table 0x09407294</x:v>
      </x:c>
      <x:c r="L36" s="61" t="str">
        <x:v>Lookup V1–V8 confirmé</x:v>
      </x:c>
      <x:c r="M36" s="61" t="str">
        <x:v>Élevée</x:v>
      </x:c>
      <x:c r="N36" s="61" t="str"/>
    </x:row>
    <x:row r="37">
      <x:c r="A37" s="55" t="str">
        <x:v>Agents Ravageurs</x:v>
      </x:c>
      <x:c r="B37" s="55" t="str">
        <x:v>Laser d’agent</x:v>
      </x:c>
      <x:c r="C37" s="55" t="n">
        <x:v>7</x:v>
      </x:c>
      <x:c r="D37" s="64" t="n">
        <x:v>29</x:v>
      </x:c>
      <x:c r="E37" s="55" t="str">
        <x:v>09404F9Ch</x:v>
      </x:c>
      <x:c r="F37" s="64" t="n">
        <x:f>'Table dégâts brute'!$B$35</x:f>
        <x:v>0</x:v>
      </x:c>
      <x:c r="G37" s="67" t="n">
        <x:f>'Table dégâts brute'!$C$35</x:f>
        <x:v>28</x:v>
      </x:c>
      <x:c r="H37" s="67" t="n">
        <x:f>'Table dégâts brute'!$D$35</x:f>
        <x:v>28</x:v>
      </x:c>
      <x:c r="I37" s="64" t="n">
        <x:f>'Table dégâts brute'!$E$35</x:f>
        <x:v>0</x:v>
      </x:c>
      <x:c r="J37" s="64" t="n">
        <x:f>'Table dégâts brute'!$F$35</x:f>
        <x:v>1</x:v>
      </x:c>
      <x:c r="K37" s="61" t="str">
        <x:v>Table 0x09407294</x:v>
      </x:c>
      <x:c r="L37" s="61" t="str">
        <x:v>Lookup V1–V8 confirmé</x:v>
      </x:c>
      <x:c r="M37" s="61" t="str">
        <x:v>Élevée</x:v>
      </x:c>
      <x:c r="N37" s="61" t="str"/>
    </x:row>
    <x:row r="38">
      <x:c r="A38" s="55" t="str">
        <x:v>Agents Ravageurs</x:v>
      </x:c>
      <x:c r="B38" s="55" t="str">
        <x:v>Laser d’agent</x:v>
      </x:c>
      <x:c r="C38" s="55" t="n">
        <x:v>8</x:v>
      </x:c>
      <x:c r="D38" s="64" t="n">
        <x:v>30</x:v>
      </x:c>
      <x:c r="E38" s="55" t="str">
        <x:v>09404FACh</x:v>
      </x:c>
      <x:c r="F38" s="64" t="n">
        <x:f>'Table dégâts brute'!$B$36</x:f>
        <x:v>0</x:v>
      </x:c>
      <x:c r="G38" s="67" t="n">
        <x:f>'Table dégâts brute'!$C$36</x:f>
        <x:v>50</x:v>
      </x:c>
      <x:c r="H38" s="67" t="n">
        <x:f>'Table dégâts brute'!$D$36</x:f>
        <x:v>50</x:v>
      </x:c>
      <x:c r="I38" s="64" t="n">
        <x:f>'Table dégâts brute'!$E$36</x:f>
        <x:v>0</x:v>
      </x:c>
      <x:c r="J38" s="64" t="n">
        <x:f>'Table dégâts brute'!$F$36</x:f>
        <x:v>1</x:v>
      </x:c>
      <x:c r="K38" s="61" t="str">
        <x:v>Table 0x09407294</x:v>
      </x:c>
      <x:c r="L38" s="61" t="str">
        <x:v>Lookup V1–V8 confirmé</x:v>
      </x:c>
      <x:c r="M38" s="61" t="str">
        <x:v>Élevée</x:v>
      </x:c>
      <x:c r="N38" s="61" t="str"/>
    </x:row>
    <x:row r="39">
      <x:c r="A39" s="55" t="str">
        <x:v>Agents Ravageurs</x:v>
      </x:c>
      <x:c r="B39" s="55" t="str">
        <x:v>Roquette d’agent</x:v>
      </x:c>
      <x:c r="C39" s="55" t="n">
        <x:v>1</x:v>
      </x:c>
      <x:c r="D39" s="64" t="n">
        <x:v>31</x:v>
      </x:c>
      <x:c r="E39" s="55" t="str">
        <x:v>09404FBCh</x:v>
      </x:c>
      <x:c r="F39" s="64" t="n">
        <x:f>'Table dégâts brute'!$B$37</x:f>
        <x:v>0</x:v>
      </x:c>
      <x:c r="G39" s="67" t="n">
        <x:f>'Table dégâts brute'!$C$37</x:f>
        <x:v>4.5</x:v>
      </x:c>
      <x:c r="H39" s="67" t="n">
        <x:f>'Table dégâts brute'!$D$37</x:f>
        <x:v>4.5</x:v>
      </x:c>
      <x:c r="I39" s="64" t="n">
        <x:f>'Table dégâts brute'!$E$37</x:f>
        <x:v>0</x:v>
      </x:c>
      <x:c r="J39" s="64" t="n">
        <x:f>'Table dégâts brute'!$F$37</x:f>
        <x:v>1</x:v>
      </x:c>
      <x:c r="K39" s="61" t="str">
        <x:v>Table 0x09407388</x:v>
      </x:c>
      <x:c r="L39" s="61" t="str">
        <x:v>Lookup V1–V8 confirmé</x:v>
      </x:c>
      <x:c r="M39" s="61" t="str">
        <x:v>Élevée</x:v>
      </x:c>
      <x:c r="N39" s="61" t="str"/>
    </x:row>
    <x:row r="40">
      <x:c r="A40" s="55" t="str">
        <x:v>Agents Ravageurs</x:v>
      </x:c>
      <x:c r="B40" s="55" t="str">
        <x:v>Roquette d’agent</x:v>
      </x:c>
      <x:c r="C40" s="55" t="n">
        <x:v>2</x:v>
      </x:c>
      <x:c r="D40" s="64" t="n">
        <x:v>31</x:v>
      </x:c>
      <x:c r="E40" s="55" t="str">
        <x:v>09404FBCh</x:v>
      </x:c>
      <x:c r="F40" s="64" t="n">
        <x:f>'Table dégâts brute'!$B$37</x:f>
        <x:v>0</x:v>
      </x:c>
      <x:c r="G40" s="67" t="n">
        <x:f>'Table dégâts brute'!$C$37</x:f>
        <x:v>4.5</x:v>
      </x:c>
      <x:c r="H40" s="67" t="n">
        <x:f>'Table dégâts brute'!$D$37</x:f>
        <x:v>4.5</x:v>
      </x:c>
      <x:c r="I40" s="64" t="n">
        <x:f>'Table dégâts brute'!$E$37</x:f>
        <x:v>0</x:v>
      </x:c>
      <x:c r="J40" s="64" t="n">
        <x:f>'Table dégâts brute'!$F$37</x:f>
        <x:v>1</x:v>
      </x:c>
      <x:c r="K40" s="61" t="str">
        <x:v>Table 0x09407388</x:v>
      </x:c>
      <x:c r="L40" s="61" t="str">
        <x:v>Lookup V1–V8 confirmé</x:v>
      </x:c>
      <x:c r="M40" s="61" t="str">
        <x:v>Élevée</x:v>
      </x:c>
      <x:c r="N40" s="61" t="str"/>
    </x:row>
    <x:row r="41">
      <x:c r="A41" s="55" t="str">
        <x:v>Agents Ravageurs</x:v>
      </x:c>
      <x:c r="B41" s="55" t="str">
        <x:v>Roquette d’agent</x:v>
      </x:c>
      <x:c r="C41" s="55" t="n">
        <x:v>3</x:v>
      </x:c>
      <x:c r="D41" s="64" t="n">
        <x:v>31</x:v>
      </x:c>
      <x:c r="E41" s="55" t="str">
        <x:v>09404FBCh</x:v>
      </x:c>
      <x:c r="F41" s="64" t="n">
        <x:f>'Table dégâts brute'!$B$37</x:f>
        <x:v>0</x:v>
      </x:c>
      <x:c r="G41" s="67" t="n">
        <x:f>'Table dégâts brute'!$C$37</x:f>
        <x:v>4.5</x:v>
      </x:c>
      <x:c r="H41" s="67" t="n">
        <x:f>'Table dégâts brute'!$D$37</x:f>
        <x:v>4.5</x:v>
      </x:c>
      <x:c r="I41" s="64" t="n">
        <x:f>'Table dégâts brute'!$E$37</x:f>
        <x:v>0</x:v>
      </x:c>
      <x:c r="J41" s="64" t="n">
        <x:f>'Table dégâts brute'!$F$37</x:f>
        <x:v>1</x:v>
      </x:c>
      <x:c r="K41" s="61" t="str">
        <x:v>Table 0x09407388</x:v>
      </x:c>
      <x:c r="L41" s="61" t="str">
        <x:v>Lookup V1–V8 confirmé</x:v>
      </x:c>
      <x:c r="M41" s="61" t="str">
        <x:v>Élevée</x:v>
      </x:c>
      <x:c r="N41" s="61" t="str"/>
    </x:row>
    <x:row r="42">
      <x:c r="A42" s="55" t="str">
        <x:v>Agents Ravageurs</x:v>
      </x:c>
      <x:c r="B42" s="55" t="str">
        <x:v>Roquette d’agent</x:v>
      </x:c>
      <x:c r="C42" s="55" t="n">
        <x:v>4</x:v>
      </x:c>
      <x:c r="D42" s="64" t="n">
        <x:v>31</x:v>
      </x:c>
      <x:c r="E42" s="55" t="str">
        <x:v>09404FBCh</x:v>
      </x:c>
      <x:c r="F42" s="64" t="n">
        <x:f>'Table dégâts brute'!$B$37</x:f>
        <x:v>0</x:v>
      </x:c>
      <x:c r="G42" s="67" t="n">
        <x:f>'Table dégâts brute'!$C$37</x:f>
        <x:v>4.5</x:v>
      </x:c>
      <x:c r="H42" s="67" t="n">
        <x:f>'Table dégâts brute'!$D$37</x:f>
        <x:v>4.5</x:v>
      </x:c>
      <x:c r="I42" s="64" t="n">
        <x:f>'Table dégâts brute'!$E$37</x:f>
        <x:v>0</x:v>
      </x:c>
      <x:c r="J42" s="64" t="n">
        <x:f>'Table dégâts brute'!$F$37</x:f>
        <x:v>1</x:v>
      </x:c>
      <x:c r="K42" s="61" t="str">
        <x:v>Table 0x09407388</x:v>
      </x:c>
      <x:c r="L42" s="61" t="str">
        <x:v>Lookup V1–V8 confirmé</x:v>
      </x:c>
      <x:c r="M42" s="61" t="str">
        <x:v>Élevée</x:v>
      </x:c>
      <x:c r="N42" s="61" t="str"/>
    </x:row>
    <x:row r="43">
      <x:c r="A43" s="55" t="str">
        <x:v>Agents Ravageurs</x:v>
      </x:c>
      <x:c r="B43" s="55" t="str">
        <x:v>Roquette d’agent</x:v>
      </x:c>
      <x:c r="C43" s="55" t="n">
        <x:v>5</x:v>
      </x:c>
      <x:c r="D43" s="64" t="n">
        <x:v>32</x:v>
      </x:c>
      <x:c r="E43" s="55" t="str">
        <x:v>09404FCCh</x:v>
      </x:c>
      <x:c r="F43" s="64" t="n">
        <x:f>'Table dégâts brute'!$B$38</x:f>
        <x:v>0</x:v>
      </x:c>
      <x:c r="G43" s="67" t="n">
        <x:f>'Table dégâts brute'!$C$38</x:f>
        <x:v>7.5</x:v>
      </x:c>
      <x:c r="H43" s="67" t="n">
        <x:f>'Table dégâts brute'!$D$38</x:f>
        <x:v>7.5</x:v>
      </x:c>
      <x:c r="I43" s="64" t="n">
        <x:f>'Table dégâts brute'!$E$38</x:f>
        <x:v>0</x:v>
      </x:c>
      <x:c r="J43" s="64" t="n">
        <x:f>'Table dégâts brute'!$F$38</x:f>
        <x:v>1</x:v>
      </x:c>
      <x:c r="K43" s="61" t="str">
        <x:v>Table 0x09407388</x:v>
      </x:c>
      <x:c r="L43" s="61" t="str">
        <x:v>Lookup V1–V8 confirmé</x:v>
      </x:c>
      <x:c r="M43" s="61" t="str">
        <x:v>Élevée</x:v>
      </x:c>
      <x:c r="N43" s="61" t="str"/>
    </x:row>
    <x:row r="44">
      <x:c r="A44" s="55" t="str">
        <x:v>Agents Ravageurs</x:v>
      </x:c>
      <x:c r="B44" s="55" t="str">
        <x:v>Roquette d’agent</x:v>
      </x:c>
      <x:c r="C44" s="55" t="n">
        <x:v>6</x:v>
      </x:c>
      <x:c r="D44" s="64" t="n">
        <x:v>33</x:v>
      </x:c>
      <x:c r="E44" s="55" t="str">
        <x:v>09404FDCh</x:v>
      </x:c>
      <x:c r="F44" s="64" t="n">
        <x:f>'Table dégâts brute'!$B$39</x:f>
        <x:v>0</x:v>
      </x:c>
      <x:c r="G44" s="67" t="n">
        <x:f>'Table dégâts brute'!$C$39</x:f>
        <x:v>11.5</x:v>
      </x:c>
      <x:c r="H44" s="67" t="n">
        <x:f>'Table dégâts brute'!$D$39</x:f>
        <x:v>11.5</x:v>
      </x:c>
      <x:c r="I44" s="64" t="n">
        <x:f>'Table dégâts brute'!$E$39</x:f>
        <x:v>0</x:v>
      </x:c>
      <x:c r="J44" s="64" t="n">
        <x:f>'Table dégâts brute'!$F$39</x:f>
        <x:v>1</x:v>
      </x:c>
      <x:c r="K44" s="61" t="str">
        <x:v>Table 0x09407388</x:v>
      </x:c>
      <x:c r="L44" s="61" t="str">
        <x:v>Lookup V1–V8 confirmé</x:v>
      </x:c>
      <x:c r="M44" s="61" t="str">
        <x:v>Élevée</x:v>
      </x:c>
      <x:c r="N44" s="61" t="str"/>
    </x:row>
    <x:row r="45">
      <x:c r="A45" s="55" t="str">
        <x:v>Agents Ravageurs</x:v>
      </x:c>
      <x:c r="B45" s="55" t="str">
        <x:v>Roquette d’agent</x:v>
      </x:c>
      <x:c r="C45" s="55" t="n">
        <x:v>7</x:v>
      </x:c>
      <x:c r="D45" s="64" t="n">
        <x:v>34</x:v>
      </x:c>
      <x:c r="E45" s="55" t="str">
        <x:v>09404FECh</x:v>
      </x:c>
      <x:c r="F45" s="64" t="n">
        <x:f>'Table dégâts brute'!$B$40</x:f>
        <x:v>0</x:v>
      </x:c>
      <x:c r="G45" s="67" t="n">
        <x:f>'Table dégâts brute'!$C$40</x:f>
        <x:v>21</x:v>
      </x:c>
      <x:c r="H45" s="67" t="n">
        <x:f>'Table dégâts brute'!$D$40</x:f>
        <x:v>21</x:v>
      </x:c>
      <x:c r="I45" s="64" t="n">
        <x:f>'Table dégâts brute'!$E$40</x:f>
        <x:v>0</x:v>
      </x:c>
      <x:c r="J45" s="64" t="n">
        <x:f>'Table dégâts brute'!$F$40</x:f>
        <x:v>1</x:v>
      </x:c>
      <x:c r="K45" s="61" t="str">
        <x:v>Table 0x09407388</x:v>
      </x:c>
      <x:c r="L45" s="61" t="str">
        <x:v>Lookup V1–V8 confirmé</x:v>
      </x:c>
      <x:c r="M45" s="61" t="str">
        <x:v>Élevée</x:v>
      </x:c>
      <x:c r="N45" s="61" t="str"/>
    </x:row>
    <x:row r="46">
      <x:c r="A46" s="55" t="str">
        <x:v>Agents Ravageurs</x:v>
      </x:c>
      <x:c r="B46" s="55" t="str">
        <x:v>Roquette d’agent</x:v>
      </x:c>
      <x:c r="C46" s="55" t="n">
        <x:v>8</x:v>
      </x:c>
      <x:c r="D46" s="64" t="n">
        <x:v>35</x:v>
      </x:c>
      <x:c r="E46" s="55" t="str">
        <x:v>09404FFCh</x:v>
      </x:c>
      <x:c r="F46" s="64" t="n">
        <x:f>'Table dégâts brute'!$B$41</x:f>
        <x:v>0</x:v>
      </x:c>
      <x:c r="G46" s="67" t="n">
        <x:f>'Table dégâts brute'!$C$41</x:f>
        <x:v>37.5</x:v>
      </x:c>
      <x:c r="H46" s="67" t="n">
        <x:f>'Table dégâts brute'!$D$41</x:f>
        <x:v>37.5</x:v>
      </x:c>
      <x:c r="I46" s="64" t="n">
        <x:f>'Table dégâts brute'!$E$41</x:f>
        <x:v>0</x:v>
      </x:c>
      <x:c r="J46" s="64" t="n">
        <x:f>'Table dégâts brute'!$F$41</x:f>
        <x:v>1</x:v>
      </x:c>
      <x:c r="K46" s="61" t="str">
        <x:v>Table 0x09407388</x:v>
      </x:c>
      <x:c r="L46" s="61" t="str">
        <x:v>Lookup V1–V8 confirmé</x:v>
      </x:c>
      <x:c r="M46" s="61" t="str">
        <x:v>Élevée</x:v>
      </x:c>
      <x:c r="N46" s="61" t="str"/>
    </x:row>
    <x:row r="47">
      <x:c r="A47" s="55" t="str">
        <x:v>Agents Ravageurs</x:v>
      </x:c>
      <x:c r="B47" s="55" t="str">
        <x:v>Corps / attaque principale d’agent</x:v>
      </x:c>
      <x:c r="C47" s="55" t="n">
        <x:v>1</x:v>
      </x:c>
      <x:c r="D47" s="64" t="n">
        <x:v>36</x:v>
      </x:c>
      <x:c r="E47" s="55" t="str">
        <x:v>0940500Ch</x:v>
      </x:c>
      <x:c r="F47" s="64" t="n">
        <x:f>'Table dégâts brute'!$B$42</x:f>
        <x:v>0</x:v>
      </x:c>
      <x:c r="G47" s="67" t="n">
        <x:f>'Table dégâts brute'!$C$42</x:f>
        <x:v>12</x:v>
      </x:c>
      <x:c r="H47" s="67" t="n">
        <x:f>'Table dégâts brute'!$D$42</x:f>
        <x:v>12</x:v>
      </x:c>
      <x:c r="I47" s="64" t="n">
        <x:f>'Table dégâts brute'!$E$42</x:f>
        <x:v>0</x:v>
      </x:c>
      <x:c r="J47" s="64" t="n">
        <x:f>'Table dégâts brute'!$F$42</x:f>
        <x:v>2</x:v>
      </x:c>
      <x:c r="K47" s="61" t="str">
        <x:v>Table 0x09406E8C</x:v>
      </x:c>
      <x:c r="L47" s="61" t="str">
        <x:v>Lookup V1–V8 confirmé</x:v>
      </x:c>
      <x:c r="M47" s="61" t="str">
        <x:v>Élevée</x:v>
      </x:c>
      <x:c r="N47" s="61" t="str"/>
    </x:row>
    <x:row r="48">
      <x:c r="A48" s="55" t="str">
        <x:v>Agents Ravageurs</x:v>
      </x:c>
      <x:c r="B48" s="55" t="str">
        <x:v>Corps / attaque principale d’agent</x:v>
      </x:c>
      <x:c r="C48" s="55" t="n">
        <x:v>2</x:v>
      </x:c>
      <x:c r="D48" s="64" t="n">
        <x:v>36</x:v>
      </x:c>
      <x:c r="E48" s="55" t="str">
        <x:v>0940500Ch</x:v>
      </x:c>
      <x:c r="F48" s="64" t="n">
        <x:f>'Table dégâts brute'!$B$42</x:f>
        <x:v>0</x:v>
      </x:c>
      <x:c r="G48" s="67" t="n">
        <x:f>'Table dégâts brute'!$C$42</x:f>
        <x:v>12</x:v>
      </x:c>
      <x:c r="H48" s="67" t="n">
        <x:f>'Table dégâts brute'!$D$42</x:f>
        <x:v>12</x:v>
      </x:c>
      <x:c r="I48" s="64" t="n">
        <x:f>'Table dégâts brute'!$E$42</x:f>
        <x:v>0</x:v>
      </x:c>
      <x:c r="J48" s="64" t="n">
        <x:f>'Table dégâts brute'!$F$42</x:f>
        <x:v>2</x:v>
      </x:c>
      <x:c r="K48" s="61" t="str">
        <x:v>Table 0x09406E8C</x:v>
      </x:c>
      <x:c r="L48" s="61" t="str">
        <x:v>Lookup V1–V8 confirmé</x:v>
      </x:c>
      <x:c r="M48" s="61" t="str">
        <x:v>Élevée</x:v>
      </x:c>
      <x:c r="N48" s="61" t="str"/>
    </x:row>
    <x:row r="49">
      <x:c r="A49" s="55" t="str">
        <x:v>Agents Ravageurs</x:v>
      </x:c>
      <x:c r="B49" s="55" t="str">
        <x:v>Corps / attaque principale d’agent</x:v>
      </x:c>
      <x:c r="C49" s="55" t="n">
        <x:v>3</x:v>
      </x:c>
      <x:c r="D49" s="64" t="n">
        <x:v>36</x:v>
      </x:c>
      <x:c r="E49" s="55" t="str">
        <x:v>0940500Ch</x:v>
      </x:c>
      <x:c r="F49" s="64" t="n">
        <x:f>'Table dégâts brute'!$B$42</x:f>
        <x:v>0</x:v>
      </x:c>
      <x:c r="G49" s="67" t="n">
        <x:f>'Table dégâts brute'!$C$42</x:f>
        <x:v>12</x:v>
      </x:c>
      <x:c r="H49" s="67" t="n">
        <x:f>'Table dégâts brute'!$D$42</x:f>
        <x:v>12</x:v>
      </x:c>
      <x:c r="I49" s="64" t="n">
        <x:f>'Table dégâts brute'!$E$42</x:f>
        <x:v>0</x:v>
      </x:c>
      <x:c r="J49" s="64" t="n">
        <x:f>'Table dégâts brute'!$F$42</x:f>
        <x:v>2</x:v>
      </x:c>
      <x:c r="K49" s="61" t="str">
        <x:v>Table 0x09406E8C</x:v>
      </x:c>
      <x:c r="L49" s="61" t="str">
        <x:v>Lookup V1–V8 confirmé</x:v>
      </x:c>
      <x:c r="M49" s="61" t="str">
        <x:v>Élevée</x:v>
      </x:c>
      <x:c r="N49" s="61" t="str"/>
    </x:row>
    <x:row r="50">
      <x:c r="A50" s="55" t="str">
        <x:v>Agents Ravageurs</x:v>
      </x:c>
      <x:c r="B50" s="55" t="str">
        <x:v>Corps / attaque principale d’agent</x:v>
      </x:c>
      <x:c r="C50" s="55" t="n">
        <x:v>4</x:v>
      </x:c>
      <x:c r="D50" s="64" t="n">
        <x:v>36</x:v>
      </x:c>
      <x:c r="E50" s="55" t="str">
        <x:v>0940500Ch</x:v>
      </x:c>
      <x:c r="F50" s="64" t="n">
        <x:f>'Table dégâts brute'!$B$42</x:f>
        <x:v>0</x:v>
      </x:c>
      <x:c r="G50" s="67" t="n">
        <x:f>'Table dégâts brute'!$C$42</x:f>
        <x:v>12</x:v>
      </x:c>
      <x:c r="H50" s="67" t="n">
        <x:f>'Table dégâts brute'!$D$42</x:f>
        <x:v>12</x:v>
      </x:c>
      <x:c r="I50" s="64" t="n">
        <x:f>'Table dégâts brute'!$E$42</x:f>
        <x:v>0</x:v>
      </x:c>
      <x:c r="J50" s="64" t="n">
        <x:f>'Table dégâts brute'!$F$42</x:f>
        <x:v>2</x:v>
      </x:c>
      <x:c r="K50" s="61" t="str">
        <x:v>Table 0x09406E8C</x:v>
      </x:c>
      <x:c r="L50" s="61" t="str">
        <x:v>Lookup V1–V8 confirmé</x:v>
      </x:c>
      <x:c r="M50" s="61" t="str">
        <x:v>Élevée</x:v>
      </x:c>
      <x:c r="N50" s="61" t="str"/>
    </x:row>
    <x:row r="51">
      <x:c r="A51" s="55" t="str">
        <x:v>Agents Ravageurs</x:v>
      </x:c>
      <x:c r="B51" s="55" t="str">
        <x:v>Corps / attaque principale d’agent</x:v>
      </x:c>
      <x:c r="C51" s="55" t="n">
        <x:v>5</x:v>
      </x:c>
      <x:c r="D51" s="64" t="n">
        <x:v>37</x:v>
      </x:c>
      <x:c r="E51" s="55" t="str">
        <x:v>0940501Ch</x:v>
      </x:c>
      <x:c r="F51" s="64" t="n">
        <x:f>'Table dégâts brute'!$B$43</x:f>
        <x:v>0</x:v>
      </x:c>
      <x:c r="G51" s="67" t="n">
        <x:f>'Table dégâts brute'!$C$43</x:f>
        <x:v>96</x:v>
      </x:c>
      <x:c r="H51" s="67" t="n">
        <x:f>'Table dégâts brute'!$D$43</x:f>
        <x:v>96</x:v>
      </x:c>
      <x:c r="I51" s="64" t="n">
        <x:f>'Table dégâts brute'!$E$43</x:f>
        <x:v>0</x:v>
      </x:c>
      <x:c r="J51" s="64" t="n">
        <x:f>'Table dégâts brute'!$F$43</x:f>
        <x:v>2</x:v>
      </x:c>
      <x:c r="K51" s="61" t="str">
        <x:v>Table 0x09406E8C</x:v>
      </x:c>
      <x:c r="L51" s="61" t="str">
        <x:v>Lookup V1–V8 confirmé</x:v>
      </x:c>
      <x:c r="M51" s="61" t="str">
        <x:v>Élevée</x:v>
      </x:c>
      <x:c r="N51" s="61" t="str"/>
    </x:row>
    <x:row r="52">
      <x:c r="A52" s="55" t="str">
        <x:v>Agents Ravageurs</x:v>
      </x:c>
      <x:c r="B52" s="55" t="str">
        <x:v>Corps / attaque principale d’agent</x:v>
      </x:c>
      <x:c r="C52" s="55" t="n">
        <x:v>6</x:v>
      </x:c>
      <x:c r="D52" s="64" t="n">
        <x:v>38</x:v>
      </x:c>
      <x:c r="E52" s="55" t="str">
        <x:v>0940502Ch</x:v>
      </x:c>
      <x:c r="F52" s="64" t="n">
        <x:f>'Table dégâts brute'!$B$44</x:f>
        <x:v>0</x:v>
      </x:c>
      <x:c r="G52" s="67" t="n">
        <x:f>'Table dégâts brute'!$C$44</x:f>
        <x:v>136</x:v>
      </x:c>
      <x:c r="H52" s="67" t="n">
        <x:f>'Table dégâts brute'!$D$44</x:f>
        <x:v>136</x:v>
      </x:c>
      <x:c r="I52" s="64" t="n">
        <x:f>'Table dégâts brute'!$E$44</x:f>
        <x:v>0</x:v>
      </x:c>
      <x:c r="J52" s="64" t="n">
        <x:f>'Table dégâts brute'!$F$44</x:f>
        <x:v>2</x:v>
      </x:c>
      <x:c r="K52" s="61" t="str">
        <x:v>Table 0x09406E8C</x:v>
      </x:c>
      <x:c r="L52" s="61" t="str">
        <x:v>Lookup V1–V8 confirmé</x:v>
      </x:c>
      <x:c r="M52" s="61" t="str">
        <x:v>Élevée</x:v>
      </x:c>
      <x:c r="N52" s="61" t="str"/>
    </x:row>
    <x:row r="53">
      <x:c r="A53" s="55" t="str">
        <x:v>Agents Ravageurs</x:v>
      </x:c>
      <x:c r="B53" s="55" t="str">
        <x:v>Corps / attaque principale d’agent</x:v>
      </x:c>
      <x:c r="C53" s="55" t="n">
        <x:v>7</x:v>
      </x:c>
      <x:c r="D53" s="64" t="n">
        <x:v>39</x:v>
      </x:c>
      <x:c r="E53" s="55" t="str">
        <x:v>0940503Ch</x:v>
      </x:c>
      <x:c r="F53" s="64" t="n">
        <x:f>'Table dégâts brute'!$B$45</x:f>
        <x:v>0</x:v>
      </x:c>
      <x:c r="G53" s="67" t="n">
        <x:f>'Table dégâts brute'!$C$45</x:f>
        <x:v>232</x:v>
      </x:c>
      <x:c r="H53" s="67" t="n">
        <x:f>'Table dégâts brute'!$D$45</x:f>
        <x:v>232</x:v>
      </x:c>
      <x:c r="I53" s="64" t="n">
        <x:f>'Table dégâts brute'!$E$45</x:f>
        <x:v>0</x:v>
      </x:c>
      <x:c r="J53" s="64" t="n">
        <x:f>'Table dégâts brute'!$F$45</x:f>
        <x:v>2</x:v>
      </x:c>
      <x:c r="K53" s="61" t="str">
        <x:v>Table 0x09406E8C</x:v>
      </x:c>
      <x:c r="L53" s="61" t="str">
        <x:v>Lookup V1–V8 confirmé</x:v>
      </x:c>
      <x:c r="M53" s="61" t="str">
        <x:v>Élevée</x:v>
      </x:c>
      <x:c r="N53" s="61" t="str"/>
    </x:row>
    <x:row r="54">
      <x:c r="A54" s="55" t="str">
        <x:v>Agents Ravageurs</x:v>
      </x:c>
      <x:c r="B54" s="55" t="str">
        <x:v>Corps / attaque principale d’agent</x:v>
      </x:c>
      <x:c r="C54" s="55" t="n">
        <x:v>8</x:v>
      </x:c>
      <x:c r="D54" s="64" t="n">
        <x:v>40</x:v>
      </x:c>
      <x:c r="E54" s="55" t="str">
        <x:v>0940504Ch</x:v>
      </x:c>
      <x:c r="F54" s="64" t="n">
        <x:f>'Table dégâts brute'!$B$46</x:f>
        <x:v>0</x:v>
      </x:c>
      <x:c r="G54" s="67" t="n">
        <x:f>'Table dégâts brute'!$C$46</x:f>
        <x:v>398</x:v>
      </x:c>
      <x:c r="H54" s="67" t="n">
        <x:f>'Table dégâts brute'!$D$46</x:f>
        <x:v>398</x:v>
      </x:c>
      <x:c r="I54" s="64" t="n">
        <x:f>'Table dégâts brute'!$E$46</x:f>
        <x:v>0</x:v>
      </x:c>
      <x:c r="J54" s="64" t="n">
        <x:f>'Table dégâts brute'!$F$46</x:f>
        <x:v>2</x:v>
      </x:c>
      <x:c r="K54" s="61" t="str">
        <x:v>Table 0x09406E8C</x:v>
      </x:c>
      <x:c r="L54" s="61" t="str">
        <x:v>Lookup V1–V8 confirmé</x:v>
      </x:c>
      <x:c r="M54" s="61" t="str">
        <x:v>Élevée</x:v>
      </x:c>
      <x:c r="N54" s="61" t="str"/>
    </x:row>
    <x:row r="55">
      <x:c r="A55" s="55" t="str">
        <x:v>Gant Mine Abeille</x:v>
      </x:c>
      <x:c r="B55" s="55" t="str">
        <x:v>Mine/abeille – groupe A</x:v>
      </x:c>
      <x:c r="C55" s="55" t="n">
        <x:v>1</x:v>
      </x:c>
      <x:c r="D55" s="64" t="n">
        <x:v>41</x:v>
      </x:c>
      <x:c r="E55" s="55" t="str">
        <x:v>0940505Ch</x:v>
      </x:c>
      <x:c r="F55" s="64" t="n">
        <x:f>'Table dégâts brute'!$B$47</x:f>
        <x:v>0</x:v>
      </x:c>
      <x:c r="G55" s="67" t="n">
        <x:f>'Table dégâts brute'!$C$47</x:f>
        <x:v>1</x:v>
      </x:c>
      <x:c r="H55" s="67" t="n">
        <x:f>'Table dégâts brute'!$D$47</x:f>
        <x:v>1</x:v>
      </x:c>
      <x:c r="I55" s="64" t="n">
        <x:f>'Table dégâts brute'!$E$47</x:f>
        <x:v>1</x:v>
      </x:c>
      <x:c r="J55" s="64" t="n">
        <x:f>'Table dégâts brute'!$F$47</x:f>
        <x:v>1</x:v>
      </x:c>
      <x:c r="K55" s="61" t="str">
        <x:v>Chaîne déléguée BeeMine</x:v>
      </x:c>
      <x:c r="L55" s="61" t="str">
        <x:v>Bloc contigu cohérent; appel indirect</x:v>
      </x:c>
      <x:c r="M55" s="61" t="str">
        <x:v>Moyenne</x:v>
      </x:c>
      <x:c r="N55" s="61" t="str">
        <x:v>Attribution forte mais le sous-type exact de l’impact reste à valider dynamiquement.</x:v>
      </x:c>
    </x:row>
    <x:row r="56">
      <x:c r="A56" s="55" t="str">
        <x:v>Gant Mine Abeille</x:v>
      </x:c>
      <x:c r="B56" s="55" t="str">
        <x:v>Mine/abeille – groupe A</x:v>
      </x:c>
      <x:c r="C56" s="55" t="n">
        <x:v>2</x:v>
      </x:c>
      <x:c r="D56" s="64" t="n">
        <x:v>42</x:v>
      </x:c>
      <x:c r="E56" s="55" t="str">
        <x:v>0940506Ch</x:v>
      </x:c>
      <x:c r="F56" s="64" t="n">
        <x:f>'Table dégâts brute'!$B$48</x:f>
        <x:v>0</x:v>
      </x:c>
      <x:c r="G56" s="67" t="n">
        <x:f>'Table dégâts brute'!$C$48</x:f>
        <x:v>3</x:v>
      </x:c>
      <x:c r="H56" s="67" t="n">
        <x:f>'Table dégâts brute'!$D$48</x:f>
        <x:v>3</x:v>
      </x:c>
      <x:c r="I56" s="64" t="n">
        <x:f>'Table dégâts brute'!$E$48</x:f>
        <x:v>1</x:v>
      </x:c>
      <x:c r="J56" s="64" t="n">
        <x:f>'Table dégâts brute'!$F$48</x:f>
        <x:v>1</x:v>
      </x:c>
      <x:c r="K56" s="61" t="str">
        <x:v>Chaîne déléguée BeeMine</x:v>
      </x:c>
      <x:c r="L56" s="61" t="str">
        <x:v>Bloc contigu cohérent; appel indirect</x:v>
      </x:c>
      <x:c r="M56" s="61" t="str">
        <x:v>Moyenne</x:v>
      </x:c>
      <x:c r="N56" s="61" t="str">
        <x:v>Attribution forte mais le sous-type exact de l’impact reste à valider dynamiquement.</x:v>
      </x:c>
    </x:row>
    <x:row r="57">
      <x:c r="A57" s="55" t="str">
        <x:v>Gant Mine Abeille</x:v>
      </x:c>
      <x:c r="B57" s="55" t="str">
        <x:v>Mine/abeille – groupe A</x:v>
      </x:c>
      <x:c r="C57" s="55" t="n">
        <x:v>3</x:v>
      </x:c>
      <x:c r="D57" s="64" t="n">
        <x:v>43</x:v>
      </x:c>
      <x:c r="E57" s="55" t="str">
        <x:v>0940507Ch</x:v>
      </x:c>
      <x:c r="F57" s="64" t="n">
        <x:f>'Table dégâts brute'!$B$49</x:f>
        <x:v>0</x:v>
      </x:c>
      <x:c r="G57" s="67" t="n">
        <x:f>'Table dégâts brute'!$C$49</x:f>
        <x:v>5</x:v>
      </x:c>
      <x:c r="H57" s="67" t="n">
        <x:f>'Table dégâts brute'!$D$49</x:f>
        <x:v>5</x:v>
      </x:c>
      <x:c r="I57" s="64" t="n">
        <x:f>'Table dégâts brute'!$E$49</x:f>
        <x:v>1</x:v>
      </x:c>
      <x:c r="J57" s="64" t="n">
        <x:f>'Table dégâts brute'!$F$49</x:f>
        <x:v>1</x:v>
      </x:c>
      <x:c r="K57" s="61" t="str">
        <x:v>Chaîne déléguée BeeMine</x:v>
      </x:c>
      <x:c r="L57" s="61" t="str">
        <x:v>Bloc contigu cohérent; appel indirect</x:v>
      </x:c>
      <x:c r="M57" s="61" t="str">
        <x:v>Moyenne</x:v>
      </x:c>
      <x:c r="N57" s="61" t="str">
        <x:v>Attribution forte mais le sous-type exact de l’impact reste à valider dynamiquement.</x:v>
      </x:c>
    </x:row>
    <x:row r="58">
      <x:c r="A58" s="55" t="str">
        <x:v>Gant Mine Abeille</x:v>
      </x:c>
      <x:c r="B58" s="55" t="str">
        <x:v>Mine/abeille – groupe A</x:v>
      </x:c>
      <x:c r="C58" s="55" t="n">
        <x:v>4</x:v>
      </x:c>
      <x:c r="D58" s="64" t="n">
        <x:v>44</x:v>
      </x:c>
      <x:c r="E58" s="55" t="str">
        <x:v>0940508Ch</x:v>
      </x:c>
      <x:c r="F58" s="64" t="n">
        <x:f>'Table dégâts brute'!$B$50</x:f>
        <x:v>0</x:v>
      </x:c>
      <x:c r="G58" s="67" t="n">
        <x:f>'Table dégâts brute'!$C$50</x:f>
        <x:v>4</x:v>
      </x:c>
      <x:c r="H58" s="67" t="n">
        <x:f>'Table dégâts brute'!$D$50</x:f>
        <x:v>4</x:v>
      </x:c>
      <x:c r="I58" s="64" t="n">
        <x:f>'Table dégâts brute'!$E$50</x:f>
        <x:v>1</x:v>
      </x:c>
      <x:c r="J58" s="64" t="n">
        <x:f>'Table dégâts brute'!$F$50</x:f>
        <x:v>1</x:v>
      </x:c>
      <x:c r="K58" s="61" t="str">
        <x:v>Chaîne déléguée BeeMine</x:v>
      </x:c>
      <x:c r="L58" s="61" t="str">
        <x:v>Bloc contigu cohérent; appel indirect</x:v>
      </x:c>
      <x:c r="M58" s="61" t="str">
        <x:v>Moyenne</x:v>
      </x:c>
      <x:c r="N58" s="61" t="str">
        <x:v>Attribution forte mais le sous-type exact de l’impact reste à valider dynamiquement.</x:v>
      </x:c>
    </x:row>
    <x:row r="59">
      <x:c r="A59" s="55" t="str">
        <x:v>Gant Mine Abeille</x:v>
      </x:c>
      <x:c r="B59" s="55" t="str">
        <x:v>Mine/abeille – groupe A</x:v>
      </x:c>
      <x:c r="C59" s="55" t="n">
        <x:v>5</x:v>
      </x:c>
      <x:c r="D59" s="64" t="n">
        <x:v>45</x:v>
      </x:c>
      <x:c r="E59" s="55" t="str">
        <x:v>0940509Ch</x:v>
      </x:c>
      <x:c r="F59" s="64" t="n">
        <x:f>'Table dégâts brute'!$B$51</x:f>
        <x:v>0</x:v>
      </x:c>
      <x:c r="G59" s="67" t="n">
        <x:f>'Table dégâts brute'!$C$51</x:f>
        <x:v>13</x:v>
      </x:c>
      <x:c r="H59" s="67" t="n">
        <x:f>'Table dégâts brute'!$D$51</x:f>
        <x:v>13</x:v>
      </x:c>
      <x:c r="I59" s="64" t="n">
        <x:f>'Table dégâts brute'!$E$51</x:f>
        <x:v>1</x:v>
      </x:c>
      <x:c r="J59" s="64" t="n">
        <x:f>'Table dégâts brute'!$F$51</x:f>
        <x:v>1</x:v>
      </x:c>
      <x:c r="K59" s="61" t="str">
        <x:v>Chaîne déléguée BeeMine</x:v>
      </x:c>
      <x:c r="L59" s="61" t="str">
        <x:v>Bloc contigu cohérent; appel indirect</x:v>
      </x:c>
      <x:c r="M59" s="61" t="str">
        <x:v>Moyenne</x:v>
      </x:c>
      <x:c r="N59" s="61" t="str">
        <x:v>Attribution forte mais le sous-type exact de l’impact reste à valider dynamiquement.</x:v>
      </x:c>
    </x:row>
    <x:row r="60">
      <x:c r="A60" s="55" t="str">
        <x:v>Gant Mine Abeille</x:v>
      </x:c>
      <x:c r="B60" s="55" t="str">
        <x:v>Mine/abeille – groupe A</x:v>
      </x:c>
      <x:c r="C60" s="55" t="n">
        <x:v>6</x:v>
      </x:c>
      <x:c r="D60" s="64" t="n">
        <x:v>46</x:v>
      </x:c>
      <x:c r="E60" s="55" t="str">
        <x:v>094050ACh</x:v>
      </x:c>
      <x:c r="F60" s="64" t="n">
        <x:f>'Table dégâts brute'!$B$52</x:f>
        <x:v>0</x:v>
      </x:c>
      <x:c r="G60" s="67" t="n">
        <x:f>'Table dégâts brute'!$C$52</x:f>
        <x:v>18.5</x:v>
      </x:c>
      <x:c r="H60" s="67" t="n">
        <x:f>'Table dégâts brute'!$D$52</x:f>
        <x:v>18.5</x:v>
      </x:c>
      <x:c r="I60" s="64" t="n">
        <x:f>'Table dégâts brute'!$E$52</x:f>
        <x:v>1</x:v>
      </x:c>
      <x:c r="J60" s="64" t="n">
        <x:f>'Table dégâts brute'!$F$52</x:f>
        <x:v>1</x:v>
      </x:c>
      <x:c r="K60" s="61" t="str">
        <x:v>Chaîne déléguée BeeMine</x:v>
      </x:c>
      <x:c r="L60" s="61" t="str">
        <x:v>Bloc contigu cohérent; appel indirect</x:v>
      </x:c>
      <x:c r="M60" s="61" t="str">
        <x:v>Moyenne</x:v>
      </x:c>
      <x:c r="N60" s="61" t="str">
        <x:v>Attribution forte mais le sous-type exact de l’impact reste à valider dynamiquement.</x:v>
      </x:c>
    </x:row>
    <x:row r="61">
      <x:c r="A61" s="55" t="str">
        <x:v>Gant Mine Abeille</x:v>
      </x:c>
      <x:c r="B61" s="55" t="str">
        <x:v>Mine/abeille – groupe A</x:v>
      </x:c>
      <x:c r="C61" s="55" t="n">
        <x:v>7</x:v>
      </x:c>
      <x:c r="D61" s="64" t="n">
        <x:v>47</x:v>
      </x:c>
      <x:c r="E61" s="55" t="str">
        <x:v>094050BCh</x:v>
      </x:c>
      <x:c r="F61" s="64" t="n">
        <x:f>'Table dégâts brute'!$B$53</x:f>
        <x:v>0</x:v>
      </x:c>
      <x:c r="G61" s="67" t="n">
        <x:f>'Table dégâts brute'!$C$53</x:f>
        <x:v>26.5</x:v>
      </x:c>
      <x:c r="H61" s="67" t="n">
        <x:f>'Table dégâts brute'!$D$53</x:f>
        <x:v>26.5</x:v>
      </x:c>
      <x:c r="I61" s="64" t="n">
        <x:f>'Table dégâts brute'!$E$53</x:f>
        <x:v>1</x:v>
      </x:c>
      <x:c r="J61" s="64" t="n">
        <x:f>'Table dégâts brute'!$F$53</x:f>
        <x:v>1</x:v>
      </x:c>
      <x:c r="K61" s="61" t="str">
        <x:v>Chaîne déléguée BeeMine</x:v>
      </x:c>
      <x:c r="L61" s="61" t="str">
        <x:v>Bloc contigu cohérent; appel indirect</x:v>
      </x:c>
      <x:c r="M61" s="61" t="str">
        <x:v>Moyenne</x:v>
      </x:c>
      <x:c r="N61" s="61" t="str">
        <x:v>Attribution forte mais le sous-type exact de l’impact reste à valider dynamiquement.</x:v>
      </x:c>
    </x:row>
    <x:row r="62">
      <x:c r="A62" s="55" t="str">
        <x:v>Gant Mine Abeille</x:v>
      </x:c>
      <x:c r="B62" s="55" t="str">
        <x:v>Mine/abeille – groupe A</x:v>
      </x:c>
      <x:c r="C62" s="55" t="n">
        <x:v>8</x:v>
      </x:c>
      <x:c r="D62" s="64" t="n">
        <x:v>48</x:v>
      </x:c>
      <x:c r="E62" s="55" t="str">
        <x:v>094050CCh</x:v>
      </x:c>
      <x:c r="F62" s="64" t="n">
        <x:f>'Table dégâts brute'!$B$54</x:f>
        <x:v>0</x:v>
      </x:c>
      <x:c r="G62" s="67" t="n">
        <x:f>'Table dégâts brute'!$C$54</x:f>
        <x:v>44</x:v>
      </x:c>
      <x:c r="H62" s="67" t="n">
        <x:f>'Table dégâts brute'!$D$54</x:f>
        <x:v>44</x:v>
      </x:c>
      <x:c r="I62" s="64" t="n">
        <x:f>'Table dégâts brute'!$E$54</x:f>
        <x:v>1</x:v>
      </x:c>
      <x:c r="J62" s="64" t="n">
        <x:f>'Table dégâts brute'!$F$54</x:f>
        <x:v>1</x:v>
      </x:c>
      <x:c r="K62" s="61" t="str">
        <x:v>Chaîne déléguée BeeMine</x:v>
      </x:c>
      <x:c r="L62" s="61" t="str">
        <x:v>Bloc contigu cohérent; appel indirect</x:v>
      </x:c>
      <x:c r="M62" s="61" t="str">
        <x:v>Moyenne</x:v>
      </x:c>
      <x:c r="N62" s="61" t="str">
        <x:v>Attribution forte mais le sous-type exact de l’impact reste à valider dynamiquement.</x:v>
      </x:c>
    </x:row>
    <x:row r="63">
      <x:c r="A63" s="55" t="str">
        <x:v>Gant Mine Abeille</x:v>
      </x:c>
      <x:c r="B63" s="55" t="str">
        <x:v>Mine/abeille – groupe B</x:v>
      </x:c>
      <x:c r="C63" s="55" t="n">
        <x:v>1</x:v>
      </x:c>
      <x:c r="D63" s="64" t="n">
        <x:v>49</x:v>
      </x:c>
      <x:c r="E63" s="55" t="str">
        <x:v>094050DCh</x:v>
      </x:c>
      <x:c r="F63" s="64" t="n">
        <x:f>'Table dégâts brute'!$B$55</x:f>
        <x:v>0</x:v>
      </x:c>
      <x:c r="G63" s="67" t="n">
        <x:f>'Table dégâts brute'!$C$55</x:f>
        <x:v>1.25</x:v>
      </x:c>
      <x:c r="H63" s="67" t="n">
        <x:f>'Table dégâts brute'!$D$55</x:f>
        <x:v>1.25</x:v>
      </x:c>
      <x:c r="I63" s="64" t="n">
        <x:f>'Table dégâts brute'!$E$55</x:f>
        <x:v>1</x:v>
      </x:c>
      <x:c r="J63" s="64" t="n">
        <x:f>'Table dégâts brute'!$F$55</x:f>
        <x:v>1</x:v>
      </x:c>
      <x:c r="K63" s="61" t="str">
        <x:v>Chaîne déléguée BeeMine</x:v>
      </x:c>
      <x:c r="L63" s="61" t="str">
        <x:v>Bloc contigu cohérent; appel indirect</x:v>
      </x:c>
      <x:c r="M63" s="61" t="str">
        <x:v>Moyenne</x:v>
      </x:c>
      <x:c r="N63" s="61" t="str"/>
    </x:row>
    <x:row r="64">
      <x:c r="A64" s="55" t="str">
        <x:v>Gant Mine Abeille</x:v>
      </x:c>
      <x:c r="B64" s="55" t="str">
        <x:v>Mine/abeille – groupe B</x:v>
      </x:c>
      <x:c r="C64" s="55" t="n">
        <x:v>2</x:v>
      </x:c>
      <x:c r="D64" s="64" t="n">
        <x:v>50</x:v>
      </x:c>
      <x:c r="E64" s="55" t="str">
        <x:v>094050ECh</x:v>
      </x:c>
      <x:c r="F64" s="64" t="n">
        <x:f>'Table dégâts brute'!$B$56</x:f>
        <x:v>0</x:v>
      </x:c>
      <x:c r="G64" s="67" t="n">
        <x:f>'Table dégâts brute'!$C$56</x:f>
        <x:v>3.75</x:v>
      </x:c>
      <x:c r="H64" s="67" t="n">
        <x:f>'Table dégâts brute'!$D$56</x:f>
        <x:v>3.75</x:v>
      </x:c>
      <x:c r="I64" s="64" t="n">
        <x:f>'Table dégâts brute'!$E$56</x:f>
        <x:v>1</x:v>
      </x:c>
      <x:c r="J64" s="64" t="n">
        <x:f>'Table dégâts brute'!$F$56</x:f>
        <x:v>1</x:v>
      </x:c>
      <x:c r="K64" s="61" t="str">
        <x:v>Chaîne déléguée BeeMine</x:v>
      </x:c>
      <x:c r="L64" s="61" t="str">
        <x:v>Bloc contigu cohérent; appel indirect</x:v>
      </x:c>
      <x:c r="M64" s="61" t="str">
        <x:v>Moyenne</x:v>
      </x:c>
      <x:c r="N64" s="61" t="str"/>
    </x:row>
    <x:row r="65">
      <x:c r="A65" s="55" t="str">
        <x:v>Gant Mine Abeille</x:v>
      </x:c>
      <x:c r="B65" s="55" t="str">
        <x:v>Mine/abeille – groupe B</x:v>
      </x:c>
      <x:c r="C65" s="55" t="n">
        <x:v>3</x:v>
      </x:c>
      <x:c r="D65" s="64" t="n">
        <x:v>51</x:v>
      </x:c>
      <x:c r="E65" s="55" t="str">
        <x:v>094050FCh</x:v>
      </x:c>
      <x:c r="F65" s="64" t="n">
        <x:f>'Table dégâts brute'!$B$57</x:f>
        <x:v>0</x:v>
      </x:c>
      <x:c r="G65" s="67" t="n">
        <x:f>'Table dégâts brute'!$C$57</x:f>
        <x:v>6.25</x:v>
      </x:c>
      <x:c r="H65" s="67" t="n">
        <x:f>'Table dégâts brute'!$D$57</x:f>
        <x:v>6.25</x:v>
      </x:c>
      <x:c r="I65" s="64" t="n">
        <x:f>'Table dégâts brute'!$E$57</x:f>
        <x:v>1</x:v>
      </x:c>
      <x:c r="J65" s="64" t="n">
        <x:f>'Table dégâts brute'!$F$57</x:f>
        <x:v>1</x:v>
      </x:c>
      <x:c r="K65" s="61" t="str">
        <x:v>Chaîne déléguée BeeMine</x:v>
      </x:c>
      <x:c r="L65" s="61" t="str">
        <x:v>Bloc contigu cohérent; appel indirect</x:v>
      </x:c>
      <x:c r="M65" s="61" t="str">
        <x:v>Moyenne</x:v>
      </x:c>
      <x:c r="N65" s="61" t="str"/>
    </x:row>
    <x:row r="66">
      <x:c r="A66" s="55" t="str">
        <x:v>Gant Mine Abeille</x:v>
      </x:c>
      <x:c r="B66" s="55" t="str">
        <x:v>Mine/abeille – groupe B</x:v>
      </x:c>
      <x:c r="C66" s="55" t="n">
        <x:v>4</x:v>
      </x:c>
      <x:c r="D66" s="64" t="n">
        <x:v>52</x:v>
      </x:c>
      <x:c r="E66" s="55" t="str">
        <x:v>0940510Ch</x:v>
      </x:c>
      <x:c r="F66" s="64" t="n">
        <x:f>'Table dégâts brute'!$B$58</x:f>
        <x:v>0</x:v>
      </x:c>
      <x:c r="G66" s="67" t="n">
        <x:f>'Table dégâts brute'!$C$58</x:f>
        <x:v>5</x:v>
      </x:c>
      <x:c r="H66" s="67" t="n">
        <x:f>'Table dégâts brute'!$D$58</x:f>
        <x:v>5</x:v>
      </x:c>
      <x:c r="I66" s="64" t="n">
        <x:f>'Table dégâts brute'!$E$58</x:f>
        <x:v>1</x:v>
      </x:c>
      <x:c r="J66" s="64" t="n">
        <x:f>'Table dégâts brute'!$F$58</x:f>
        <x:v>1</x:v>
      </x:c>
      <x:c r="K66" s="61" t="str">
        <x:v>Chaîne déléguée BeeMine</x:v>
      </x:c>
      <x:c r="L66" s="61" t="str">
        <x:v>Bloc contigu cohérent; appel indirect</x:v>
      </x:c>
      <x:c r="M66" s="61" t="str">
        <x:v>Moyenne</x:v>
      </x:c>
      <x:c r="N66" s="61" t="str"/>
    </x:row>
    <x:row r="67">
      <x:c r="A67" s="55" t="str">
        <x:v>Gant Mine Abeille</x:v>
      </x:c>
      <x:c r="B67" s="55" t="str">
        <x:v>Mine/abeille – groupe B</x:v>
      </x:c>
      <x:c r="C67" s="55" t="n">
        <x:v>5</x:v>
      </x:c>
      <x:c r="D67" s="64" t="n">
        <x:v>53</x:v>
      </x:c>
      <x:c r="E67" s="55" t="str">
        <x:v>0940511Ch</x:v>
      </x:c>
      <x:c r="F67" s="64" t="n">
        <x:f>'Table dégâts brute'!$B$59</x:f>
        <x:v>0</x:v>
      </x:c>
      <x:c r="G67" s="67" t="n">
        <x:f>'Table dégâts brute'!$C$59</x:f>
        <x:v>15</x:v>
      </x:c>
      <x:c r="H67" s="67" t="n">
        <x:f>'Table dégâts brute'!$D$59</x:f>
        <x:v>15</x:v>
      </x:c>
      <x:c r="I67" s="64" t="n">
        <x:f>'Table dégâts brute'!$E$59</x:f>
        <x:v>1</x:v>
      </x:c>
      <x:c r="J67" s="64" t="n">
        <x:f>'Table dégâts brute'!$F$59</x:f>
        <x:v>1</x:v>
      </x:c>
      <x:c r="K67" s="61" t="str">
        <x:v>Chaîne déléguée BeeMine</x:v>
      </x:c>
      <x:c r="L67" s="61" t="str">
        <x:v>Bloc contigu cohérent; appel indirect</x:v>
      </x:c>
      <x:c r="M67" s="61" t="str">
        <x:v>Moyenne</x:v>
      </x:c>
      <x:c r="N67" s="61" t="str"/>
    </x:row>
    <x:row r="68">
      <x:c r="A68" s="55" t="str">
        <x:v>Gant Mine Abeille</x:v>
      </x:c>
      <x:c r="B68" s="55" t="str">
        <x:v>Mine/abeille – groupe B</x:v>
      </x:c>
      <x:c r="C68" s="55" t="n">
        <x:v>6</x:v>
      </x:c>
      <x:c r="D68" s="64" t="n">
        <x:v>54</x:v>
      </x:c>
      <x:c r="E68" s="55" t="str">
        <x:v>0940512Ch</x:v>
      </x:c>
      <x:c r="F68" s="64" t="n">
        <x:f>'Table dégâts brute'!$B$60</x:f>
        <x:v>0</x:v>
      </x:c>
      <x:c r="G68" s="67" t="n">
        <x:f>'Table dégâts brute'!$C$60</x:f>
        <x:v>21</x:v>
      </x:c>
      <x:c r="H68" s="67" t="n">
        <x:f>'Table dégâts brute'!$D$60</x:f>
        <x:v>21</x:v>
      </x:c>
      <x:c r="I68" s="64" t="n">
        <x:f>'Table dégâts brute'!$E$60</x:f>
        <x:v>1</x:v>
      </x:c>
      <x:c r="J68" s="64" t="n">
        <x:f>'Table dégâts brute'!$F$60</x:f>
        <x:v>1</x:v>
      </x:c>
      <x:c r="K68" s="61" t="str">
        <x:v>Chaîne déléguée BeeMine</x:v>
      </x:c>
      <x:c r="L68" s="61" t="str">
        <x:v>Bloc contigu cohérent; appel indirect</x:v>
      </x:c>
      <x:c r="M68" s="61" t="str">
        <x:v>Moyenne</x:v>
      </x:c>
      <x:c r="N68" s="61" t="str"/>
    </x:row>
    <x:row r="69">
      <x:c r="A69" s="55" t="str">
        <x:v>Gant Mine Abeille</x:v>
      </x:c>
      <x:c r="B69" s="55" t="str">
        <x:v>Mine/abeille – groupe B</x:v>
      </x:c>
      <x:c r="C69" s="55" t="n">
        <x:v>7</x:v>
      </x:c>
      <x:c r="D69" s="64" t="n">
        <x:v>55</x:v>
      </x:c>
      <x:c r="E69" s="55" t="str">
        <x:v>0940513Ch</x:v>
      </x:c>
      <x:c r="F69" s="64" t="n">
        <x:f>'Table dégâts brute'!$B$61</x:f>
        <x:v>0</x:v>
      </x:c>
      <x:c r="G69" s="67" t="n">
        <x:f>'Table dégâts brute'!$C$61</x:f>
        <x:v>30</x:v>
      </x:c>
      <x:c r="H69" s="67" t="n">
        <x:f>'Table dégâts brute'!$D$61</x:f>
        <x:v>30</x:v>
      </x:c>
      <x:c r="I69" s="64" t="n">
        <x:f>'Table dégâts brute'!$E$61</x:f>
        <x:v>1</x:v>
      </x:c>
      <x:c r="J69" s="64" t="n">
        <x:f>'Table dégâts brute'!$F$61</x:f>
        <x:v>1</x:v>
      </x:c>
      <x:c r="K69" s="61" t="str">
        <x:v>Chaîne déléguée BeeMine</x:v>
      </x:c>
      <x:c r="L69" s="61" t="str">
        <x:v>Bloc contigu cohérent; appel indirect</x:v>
      </x:c>
      <x:c r="M69" s="61" t="str">
        <x:v>Moyenne</x:v>
      </x:c>
      <x:c r="N69" s="61" t="str"/>
    </x:row>
    <x:row r="70">
      <x:c r="A70" s="55" t="str">
        <x:v>Gant Mine Abeille</x:v>
      </x:c>
      <x:c r="B70" s="55" t="str">
        <x:v>Mine/abeille – groupe B</x:v>
      </x:c>
      <x:c r="C70" s="55" t="n">
        <x:v>8</x:v>
      </x:c>
      <x:c r="D70" s="64" t="n">
        <x:v>56</x:v>
      </x:c>
      <x:c r="E70" s="55" t="str">
        <x:v>0940514Ch</x:v>
      </x:c>
      <x:c r="F70" s="64" t="n">
        <x:f>'Table dégâts brute'!$B$62</x:f>
        <x:v>0</x:v>
      </x:c>
      <x:c r="G70" s="67" t="n">
        <x:f>'Table dégâts brute'!$C$62</x:f>
        <x:v>50.5</x:v>
      </x:c>
      <x:c r="H70" s="67" t="n">
        <x:f>'Table dégâts brute'!$D$62</x:f>
        <x:v>50.5</x:v>
      </x:c>
      <x:c r="I70" s="64" t="n">
        <x:f>'Table dégâts brute'!$E$62</x:f>
        <x:v>1</x:v>
      </x:c>
      <x:c r="J70" s="64" t="n">
        <x:f>'Table dégâts brute'!$F$62</x:f>
        <x:v>1</x:v>
      </x:c>
      <x:c r="K70" s="61" t="str">
        <x:v>Chaîne déléguée BeeMine</x:v>
      </x:c>
      <x:c r="L70" s="61" t="str">
        <x:v>Bloc contigu cohérent; appel indirect</x:v>
      </x:c>
      <x:c r="M70" s="61" t="str">
        <x:v>Moyenne</x:v>
      </x:c>
      <x:c r="N70" s="61" t="str"/>
    </x:row>
    <x:row r="71">
      <x:c r="A71" s="55" t="str">
        <x:v>Gant Mine Abeille</x:v>
      </x:c>
      <x:c r="B71" s="55" t="str">
        <x:v>ExplosiveBee</x:v>
      </x:c>
      <x:c r="C71" s="55" t="n">
        <x:v>1</x:v>
      </x:c>
      <x:c r="D71" s="64" t="n">
        <x:v>141</x:v>
      </x:c>
      <x:c r="E71" s="55" t="str">
        <x:v>0940569Ch</x:v>
      </x:c>
      <x:c r="F71" s="64" t="n">
        <x:f>'Table dégâts brute'!$B$147</x:f>
        <x:v>0</x:v>
      </x:c>
      <x:c r="G71" s="67" t="n">
        <x:f>'Table dégâts brute'!$C$147</x:f>
        <x:v>9.600000381469727</x:v>
      </x:c>
      <x:c r="H71" s="67" t="n">
        <x:f>'Table dégâts brute'!$D$147</x:f>
        <x:v>9.600000381469727</x:v>
      </x:c>
      <x:c r="I71" s="64" t="n">
        <x:f>'Table dégâts brute'!$E$147</x:f>
        <x:v>1</x:v>
      </x:c>
      <x:c r="J71" s="64" t="n">
        <x:f>'Table dégâts brute'!$F$147</x:f>
        <x:v>1</x:v>
      </x:c>
      <x:c r="K71" s="61" t="str">
        <x:v>0x09273C64–0x09273CE8</x:v>
      </x:c>
      <x:c r="L71" s="61" t="str">
        <x:v>Index niveau + 0x8D; XP créditée à l’arme ID 6</x:v>
      </x:c>
      <x:c r="M71" s="61" t="str">
        <x:v>Élevée</x:v>
      </x:c>
      <x:c r="N71" s="61" t="str"/>
    </x:row>
    <x:row r="72">
      <x:c r="A72" s="55" t="str">
        <x:v>Gant Mine Abeille</x:v>
      </x:c>
      <x:c r="B72" s="55" t="str">
        <x:v>ExplosiveBee</x:v>
      </x:c>
      <x:c r="C72" s="55" t="n">
        <x:v>2</x:v>
      </x:c>
      <x:c r="D72" s="64" t="n">
        <x:v>142</x:v>
      </x:c>
      <x:c r="E72" s="55" t="str">
        <x:v>094056ACh</x:v>
      </x:c>
      <x:c r="F72" s="64" t="n">
        <x:f>'Table dégâts brute'!$B$148</x:f>
        <x:v>0</x:v>
      </x:c>
      <x:c r="G72" s="67" t="n">
        <x:f>'Table dégâts brute'!$C$148</x:f>
        <x:v>19.200000762939453</x:v>
      </x:c>
      <x:c r="H72" s="67" t="n">
        <x:f>'Table dégâts brute'!$D$148</x:f>
        <x:v>19.200000762939453</x:v>
      </x:c>
      <x:c r="I72" s="64" t="n">
        <x:f>'Table dégâts brute'!$E$148</x:f>
        <x:v>1</x:v>
      </x:c>
      <x:c r="J72" s="64" t="n">
        <x:f>'Table dégâts brute'!$F$148</x:f>
        <x:v>1</x:v>
      </x:c>
      <x:c r="K72" s="61" t="str">
        <x:v>0x09273C64–0x09273CE8</x:v>
      </x:c>
      <x:c r="L72" s="61" t="str">
        <x:v>Index niveau + 0x8D; XP créditée à l’arme ID 6</x:v>
      </x:c>
      <x:c r="M72" s="61" t="str">
        <x:v>Élevée</x:v>
      </x:c>
      <x:c r="N72" s="61" t="str"/>
    </x:row>
    <x:row r="73">
      <x:c r="A73" s="55" t="str">
        <x:v>Gant Mine Abeille</x:v>
      </x:c>
      <x:c r="B73" s="55" t="str">
        <x:v>ExplosiveBee</x:v>
      </x:c>
      <x:c r="C73" s="55" t="n">
        <x:v>3</x:v>
      </x:c>
      <x:c r="D73" s="64" t="n">
        <x:v>143</x:v>
      </x:c>
      <x:c r="E73" s="55" t="str">
        <x:v>094056BCh</x:v>
      </x:c>
      <x:c r="F73" s="64" t="n">
        <x:f>'Table dégâts brute'!$B$149</x:f>
        <x:v>0</x:v>
      </x:c>
      <x:c r="G73" s="67" t="n">
        <x:f>'Table dégâts brute'!$C$149</x:f>
        <x:v>28.799999237060547</x:v>
      </x:c>
      <x:c r="H73" s="67" t="n">
        <x:f>'Table dégâts brute'!$D$149</x:f>
        <x:v>28.799999237060547</x:v>
      </x:c>
      <x:c r="I73" s="64" t="n">
        <x:f>'Table dégâts brute'!$E$149</x:f>
        <x:v>1</x:v>
      </x:c>
      <x:c r="J73" s="64" t="n">
        <x:f>'Table dégâts brute'!$F$149</x:f>
        <x:v>1</x:v>
      </x:c>
      <x:c r="K73" s="61" t="str">
        <x:v>0x09273C64–0x09273CE8</x:v>
      </x:c>
      <x:c r="L73" s="61" t="str">
        <x:v>Index niveau + 0x8D; XP créditée à l’arme ID 6</x:v>
      </x:c>
      <x:c r="M73" s="61" t="str">
        <x:v>Élevée</x:v>
      </x:c>
      <x:c r="N73" s="61" t="str"/>
    </x:row>
    <x:row r="74">
      <x:c r="A74" s="55" t="str">
        <x:v>Gant Mine Abeille</x:v>
      </x:c>
      <x:c r="B74" s="55" t="str">
        <x:v>ExplosiveBee</x:v>
      </x:c>
      <x:c r="C74" s="55" t="n">
        <x:v>4</x:v>
      </x:c>
      <x:c r="D74" s="64" t="n">
        <x:v>144</x:v>
      </x:c>
      <x:c r="E74" s="55" t="str">
        <x:v>094056CCh</x:v>
      </x:c>
      <x:c r="F74" s="64" t="n">
        <x:f>'Table dégâts brute'!$B$150</x:f>
        <x:v>0</x:v>
      </x:c>
      <x:c r="G74" s="67" t="n">
        <x:f>'Table dégâts brute'!$C$150</x:f>
        <x:v>38.400001525878906</x:v>
      </x:c>
      <x:c r="H74" s="67" t="n">
        <x:f>'Table dégâts brute'!$D$150</x:f>
        <x:v>38.400001525878906</x:v>
      </x:c>
      <x:c r="I74" s="64" t="n">
        <x:f>'Table dégâts brute'!$E$150</x:f>
        <x:v>1</x:v>
      </x:c>
      <x:c r="J74" s="64" t="n">
        <x:f>'Table dégâts brute'!$F$150</x:f>
        <x:v>1</x:v>
      </x:c>
      <x:c r="K74" s="61" t="str">
        <x:v>0x09273C64–0x09273CE8</x:v>
      </x:c>
      <x:c r="L74" s="61" t="str">
        <x:v>Index niveau + 0x8D; XP créditée à l’arme ID 6</x:v>
      </x:c>
      <x:c r="M74" s="61" t="str">
        <x:v>Élevée</x:v>
      </x:c>
      <x:c r="N74" s="61" t="str"/>
    </x:row>
    <x:row r="75">
      <x:c r="A75" s="55" t="str">
        <x:v>Gant Mine Abeille</x:v>
      </x:c>
      <x:c r="B75" s="55" t="str">
        <x:v>ExplosiveBee</x:v>
      </x:c>
      <x:c r="C75" s="55" t="n">
        <x:v>5</x:v>
      </x:c>
      <x:c r="D75" s="64" t="n">
        <x:v>145</x:v>
      </x:c>
      <x:c r="E75" s="55" t="str">
        <x:v>094056DCh</x:v>
      </x:c>
      <x:c r="F75" s="64" t="n">
        <x:f>'Table dégâts brute'!$B$151</x:f>
        <x:v>0</x:v>
      </x:c>
      <x:c r="G75" s="67" t="n">
        <x:f>'Table dégâts brute'!$C$151</x:f>
        <x:v>72</x:v>
      </x:c>
      <x:c r="H75" s="67" t="n">
        <x:f>'Table dégâts brute'!$D$151</x:f>
        <x:v>72</x:v>
      </x:c>
      <x:c r="I75" s="64" t="n">
        <x:f>'Table dégâts brute'!$E$151</x:f>
        <x:v>1</x:v>
      </x:c>
      <x:c r="J75" s="64" t="n">
        <x:f>'Table dégâts brute'!$F$151</x:f>
        <x:v>1</x:v>
      </x:c>
      <x:c r="K75" s="61" t="str">
        <x:v>0x09273C64–0x09273CE8</x:v>
      </x:c>
      <x:c r="L75" s="61" t="str">
        <x:v>Index niveau + 0x8D; XP créditée à l’arme ID 6</x:v>
      </x:c>
      <x:c r="M75" s="61" t="str">
        <x:v>Élevée</x:v>
      </x:c>
      <x:c r="N75" s="61" t="str"/>
    </x:row>
    <x:row r="76">
      <x:c r="A76" s="55" t="str">
        <x:v>Gant Mine Abeille</x:v>
      </x:c>
      <x:c r="B76" s="55" t="str">
        <x:v>ExplosiveBee</x:v>
      </x:c>
      <x:c r="C76" s="55" t="n">
        <x:v>6</x:v>
      </x:c>
      <x:c r="D76" s="64" t="n">
        <x:v>146</x:v>
      </x:c>
      <x:c r="E76" s="55" t="str">
        <x:v>094056ECh</x:v>
      </x:c>
      <x:c r="F76" s="64" t="n">
        <x:f>'Table dégâts brute'!$B$152</x:f>
        <x:v>0</x:v>
      </x:c>
      <x:c r="G76" s="67" t="n">
        <x:f>'Table dégâts brute'!$C$152</x:f>
        <x:v>118</x:v>
      </x:c>
      <x:c r="H76" s="67" t="n">
        <x:f>'Table dégâts brute'!$D$152</x:f>
        <x:v>118</x:v>
      </x:c>
      <x:c r="I76" s="64" t="n">
        <x:f>'Table dégâts brute'!$E$152</x:f>
        <x:v>1</x:v>
      </x:c>
      <x:c r="J76" s="64" t="n">
        <x:f>'Table dégâts brute'!$F$152</x:f>
        <x:v>1</x:v>
      </x:c>
      <x:c r="K76" s="61" t="str">
        <x:v>0x09273C64–0x09273CE8</x:v>
      </x:c>
      <x:c r="L76" s="61" t="str">
        <x:v>Index niveau + 0x8D; XP créditée à l’arme ID 6</x:v>
      </x:c>
      <x:c r="M76" s="61" t="str">
        <x:v>Élevée</x:v>
      </x:c>
      <x:c r="N76" s="61" t="str"/>
    </x:row>
    <x:row r="77">
      <x:c r="A77" s="55" t="str">
        <x:v>Gant Mine Abeille</x:v>
      </x:c>
      <x:c r="B77" s="55" t="str">
        <x:v>ExplosiveBee</x:v>
      </x:c>
      <x:c r="C77" s="55" t="n">
        <x:v>7</x:v>
      </x:c>
      <x:c r="D77" s="64" t="n">
        <x:v>147</x:v>
      </x:c>
      <x:c r="E77" s="55" t="str">
        <x:v>094056FCh</x:v>
      </x:c>
      <x:c r="F77" s="64" t="n">
        <x:f>'Table dégâts brute'!$B$153</x:f>
        <x:v>0</x:v>
      </x:c>
      <x:c r="G77" s="67" t="n">
        <x:f>'Table dégâts brute'!$C$153</x:f>
        <x:v>190</x:v>
      </x:c>
      <x:c r="H77" s="67" t="n">
        <x:f>'Table dégâts brute'!$D$153</x:f>
        <x:v>190</x:v>
      </x:c>
      <x:c r="I77" s="64" t="n">
        <x:f>'Table dégâts brute'!$E$153</x:f>
        <x:v>1</x:v>
      </x:c>
      <x:c r="J77" s="64" t="n">
        <x:f>'Table dégâts brute'!$F$153</x:f>
        <x:v>1</x:v>
      </x:c>
      <x:c r="K77" s="61" t="str">
        <x:v>0x09273C64–0x09273CE8</x:v>
      </x:c>
      <x:c r="L77" s="61" t="str">
        <x:v>Index niveau + 0x8D; XP créditée à l’arme ID 6</x:v>
      </x:c>
      <x:c r="M77" s="61" t="str">
        <x:v>Élevée</x:v>
      </x:c>
      <x:c r="N77" s="61" t="str"/>
    </x:row>
    <x:row r="78">
      <x:c r="A78" s="55" t="str">
        <x:v>Gant Mine Abeille</x:v>
      </x:c>
      <x:c r="B78" s="55" t="str">
        <x:v>ExplosiveBee</x:v>
      </x:c>
      <x:c r="C78" s="55" t="n">
        <x:v>8</x:v>
      </x:c>
      <x:c r="D78" s="64" t="n">
        <x:v>148</x:v>
      </x:c>
      <x:c r="E78" s="55" t="str">
        <x:v>0940570Ch</x:v>
      </x:c>
      <x:c r="F78" s="64" t="n">
        <x:f>'Table dégâts brute'!$B$154</x:f>
        <x:v>0</x:v>
      </x:c>
      <x:c r="G78" s="67" t="n">
        <x:f>'Table dégâts brute'!$C$154</x:f>
        <x:v>275</x:v>
      </x:c>
      <x:c r="H78" s="67" t="n">
        <x:f>'Table dégâts brute'!$D$154</x:f>
        <x:v>275</x:v>
      </x:c>
      <x:c r="I78" s="64" t="n">
        <x:f>'Table dégâts brute'!$E$154</x:f>
        <x:v>1</x:v>
      </x:c>
      <x:c r="J78" s="64" t="n">
        <x:f>'Table dégâts brute'!$F$154</x:f>
        <x:v>1</x:v>
      </x:c>
      <x:c r="K78" s="61" t="str">
        <x:v>0x09273C64–0x09273CE8</x:v>
      </x:c>
      <x:c r="L78" s="61" t="str">
        <x:v>Index niveau + 0x8D; XP créditée à l’arme ID 6</x:v>
      </x:c>
      <x:c r="M78" s="61" t="str">
        <x:v>Élevée</x:v>
      </x:c>
      <x:c r="N78" s="61" t="str"/>
    </x:row>
    <x:row r="79">
      <x:c r="A79" s="55" t="str">
        <x:v>Incinérator</x:v>
      </x:c>
      <x:c r="B79" s="55" t="str">
        <x:v>Flamme – tick principal</x:v>
      </x:c>
      <x:c r="C79" s="55" t="n">
        <x:v>1</x:v>
      </x:c>
      <x:c r="D79" s="64" t="n">
        <x:v>65</x:v>
      </x:c>
      <x:c r="E79" s="55" t="str">
        <x:v>094051DCh</x:v>
      </x:c>
      <x:c r="F79" s="64" t="n">
        <x:f>'Table dégâts brute'!$B$71</x:f>
        <x:v>1</x:v>
      </x:c>
      <x:c r="G79" s="67" t="n">
        <x:f>'Table dégâts brute'!$C$71</x:f>
        <x:v>0.5333333611488342</x:v>
      </x:c>
      <x:c r="H79" s="67" t="n">
        <x:f>'Table dégâts brute'!$D$71</x:f>
        <x:v>0.5333333611488342</x:v>
      </x:c>
      <x:c r="I79" s="64" t="n">
        <x:f>'Table dégâts brute'!$E$71</x:f>
        <x:v>0</x:v>
      </x:c>
      <x:c r="J79" s="64" t="n">
        <x:f>'Table dégâts brute'!$F$71</x:f>
        <x:v>1</x:v>
      </x:c>
      <x:c r="K79" s="61" t="str">
        <x:v>0x09277040; niveau + 0x41</x:v>
      </x:c>
      <x:c r="L79" s="61" t="str">
        <x:v>Courbe par tick confirmée</x:v>
      </x:c>
      <x:c r="M79" s="61" t="str">
        <x:v>Élevée</x:v>
      </x:c>
      <x:c r="N79" s="61" t="str">
        <x:v>Le scan vanilla est modulo 3 à 30 Hz, soit environ 10 événements/s.</x:v>
      </x:c>
    </x:row>
    <x:row r="80">
      <x:c r="A80" s="55" t="str">
        <x:v>Incinérator</x:v>
      </x:c>
      <x:c r="B80" s="55" t="str">
        <x:v>Flamme – tick principal</x:v>
      </x:c>
      <x:c r="C80" s="55" t="n">
        <x:v>2</x:v>
      </x:c>
      <x:c r="D80" s="64" t="n">
        <x:v>66</x:v>
      </x:c>
      <x:c r="E80" s="55" t="str">
        <x:v>094051ECh</x:v>
      </x:c>
      <x:c r="F80" s="64" t="n">
        <x:f>'Table dégâts brute'!$B$72</x:f>
        <x:v>1</x:v>
      </x:c>
      <x:c r="G80" s="67" t="n">
        <x:f>'Table dégâts brute'!$C$72</x:f>
        <x:v>0.8000000715255737</x:v>
      </x:c>
      <x:c r="H80" s="67" t="n">
        <x:f>'Table dégâts brute'!$D$72</x:f>
        <x:v>0.8000000715255737</x:v>
      </x:c>
      <x:c r="I80" s="64" t="n">
        <x:f>'Table dégâts brute'!$E$72</x:f>
        <x:v>0</x:v>
      </x:c>
      <x:c r="J80" s="64" t="n">
        <x:f>'Table dégâts brute'!$F$72</x:f>
        <x:v>1</x:v>
      </x:c>
      <x:c r="K80" s="61" t="str">
        <x:v>0x09277040; niveau + 0x41</x:v>
      </x:c>
      <x:c r="L80" s="61" t="str">
        <x:v>Courbe par tick confirmée</x:v>
      </x:c>
      <x:c r="M80" s="61" t="str">
        <x:v>Élevée</x:v>
      </x:c>
      <x:c r="N80" s="61" t="str">
        <x:v>Le scan vanilla est modulo 3 à 30 Hz, soit environ 10 événements/s.</x:v>
      </x:c>
    </x:row>
    <x:row r="81">
      <x:c r="A81" s="55" t="str">
        <x:v>Incinérator</x:v>
      </x:c>
      <x:c r="B81" s="55" t="str">
        <x:v>Flamme – tick principal</x:v>
      </x:c>
      <x:c r="C81" s="55" t="n">
        <x:v>3</x:v>
      </x:c>
      <x:c r="D81" s="64" t="n">
        <x:v>67</x:v>
      </x:c>
      <x:c r="E81" s="55" t="str">
        <x:v>094051FCh</x:v>
      </x:c>
      <x:c r="F81" s="64" t="n">
        <x:f>'Table dégâts brute'!$B$73</x:f>
        <x:v>1</x:v>
      </x:c>
      <x:c r="G81" s="67" t="n">
        <x:f>'Table dégâts brute'!$C$73</x:f>
        <x:v>1.0666667222976685</x:v>
      </x:c>
      <x:c r="H81" s="67" t="n">
        <x:f>'Table dégâts brute'!$D$73</x:f>
        <x:v>1.0666667222976685</x:v>
      </x:c>
      <x:c r="I81" s="64" t="n">
        <x:f>'Table dégâts brute'!$E$73</x:f>
        <x:v>0</x:v>
      </x:c>
      <x:c r="J81" s="64" t="n">
        <x:f>'Table dégâts brute'!$F$73</x:f>
        <x:v>1</x:v>
      </x:c>
      <x:c r="K81" s="61" t="str">
        <x:v>0x09277040; niveau + 0x41</x:v>
      </x:c>
      <x:c r="L81" s="61" t="str">
        <x:v>Courbe par tick confirmée</x:v>
      </x:c>
      <x:c r="M81" s="61" t="str">
        <x:v>Élevée</x:v>
      </x:c>
      <x:c r="N81" s="61" t="str">
        <x:v>Le scan vanilla est modulo 3 à 30 Hz, soit environ 10 événements/s.</x:v>
      </x:c>
    </x:row>
    <x:row r="82">
      <x:c r="A82" s="55" t="str">
        <x:v>Incinérator</x:v>
      </x:c>
      <x:c r="B82" s="55" t="str">
        <x:v>Flamme – tick principal</x:v>
      </x:c>
      <x:c r="C82" s="55" t="n">
        <x:v>4</x:v>
      </x:c>
      <x:c r="D82" s="64" t="n">
        <x:v>68</x:v>
      </x:c>
      <x:c r="E82" s="55" t="str">
        <x:v>0940520Ch</x:v>
      </x:c>
      <x:c r="F82" s="64" t="n">
        <x:f>'Table dégâts brute'!$B$74</x:f>
        <x:v>1</x:v>
      </x:c>
      <x:c r="G82" s="67" t="n">
        <x:f>'Table dégâts brute'!$C$74</x:f>
        <x:v>2.133333444595337</x:v>
      </x:c>
      <x:c r="H82" s="67" t="n">
        <x:f>'Table dégâts brute'!$D$74</x:f>
        <x:v>2.133333444595337</x:v>
      </x:c>
      <x:c r="I82" s="64" t="n">
        <x:f>'Table dégâts brute'!$E$74</x:f>
        <x:v>0</x:v>
      </x:c>
      <x:c r="J82" s="64" t="n">
        <x:f>'Table dégâts brute'!$F$74</x:f>
        <x:v>2</x:v>
      </x:c>
      <x:c r="K82" s="61" t="str">
        <x:v>0x09277040; niveau + 0x41</x:v>
      </x:c>
      <x:c r="L82" s="61" t="str">
        <x:v>Courbe par tick confirmée</x:v>
      </x:c>
      <x:c r="M82" s="61" t="str">
        <x:v>Élevée</x:v>
      </x:c>
      <x:c r="N82" s="61" t="str">
        <x:v>Le scan vanilla est modulo 3 à 30 Hz, soit environ 10 événements/s.</x:v>
      </x:c>
    </x:row>
    <x:row r="83">
      <x:c r="A83" s="55" t="str">
        <x:v>Incinérator</x:v>
      </x:c>
      <x:c r="B83" s="55" t="str">
        <x:v>Flamme – tick principal</x:v>
      </x:c>
      <x:c r="C83" s="55" t="n">
        <x:v>5</x:v>
      </x:c>
      <x:c r="D83" s="64" t="n">
        <x:v>69</x:v>
      </x:c>
      <x:c r="E83" s="55" t="str">
        <x:v>0940521Ch</x:v>
      </x:c>
      <x:c r="F83" s="64" t="n">
        <x:f>'Table dégâts brute'!$B$75</x:f>
        <x:v>1</x:v>
      </x:c>
      <x:c r="G83" s="67" t="n">
        <x:f>'Table dégâts brute'!$C$75</x:f>
        <x:v>4.6666669845581055</x:v>
      </x:c>
      <x:c r="H83" s="67" t="n">
        <x:f>'Table dégâts brute'!$D$75</x:f>
        <x:v>4.6666669845581055</x:v>
      </x:c>
      <x:c r="I83" s="64" t="n">
        <x:f>'Table dégâts brute'!$E$75</x:f>
        <x:v>0</x:v>
      </x:c>
      <x:c r="J83" s="64" t="n">
        <x:f>'Table dégâts brute'!$F$75</x:f>
        <x:v>2</x:v>
      </x:c>
      <x:c r="K83" s="61" t="str">
        <x:v>0x09277040; niveau + 0x41</x:v>
      </x:c>
      <x:c r="L83" s="61" t="str">
        <x:v>Courbe par tick confirmée</x:v>
      </x:c>
      <x:c r="M83" s="61" t="str">
        <x:v>Élevée</x:v>
      </x:c>
      <x:c r="N83" s="61" t="str">
        <x:v>Le scan vanilla est modulo 3 à 30 Hz, soit environ 10 événements/s.</x:v>
      </x:c>
    </x:row>
    <x:row r="84">
      <x:c r="A84" s="55" t="str">
        <x:v>Incinérator</x:v>
      </x:c>
      <x:c r="B84" s="55" t="str">
        <x:v>Flamme – tick principal</x:v>
      </x:c>
      <x:c r="C84" s="55" t="n">
        <x:v>6</x:v>
      </x:c>
      <x:c r="D84" s="64" t="n">
        <x:v>70</x:v>
      </x:c>
      <x:c r="E84" s="55" t="str">
        <x:v>0940522Ch</x:v>
      </x:c>
      <x:c r="F84" s="64" t="n">
        <x:f>'Table dégâts brute'!$B$76</x:f>
        <x:v>1</x:v>
      </x:c>
      <x:c r="G84" s="67" t="n">
        <x:f>'Table dégâts brute'!$C$76</x:f>
        <x:v>7.000000476837158</x:v>
      </x:c>
      <x:c r="H84" s="67" t="n">
        <x:f>'Table dégâts brute'!$D$76</x:f>
        <x:v>7.000000476837158</x:v>
      </x:c>
      <x:c r="I84" s="64" t="n">
        <x:f>'Table dégâts brute'!$E$76</x:f>
        <x:v>0</x:v>
      </x:c>
      <x:c r="J84" s="64" t="n">
        <x:f>'Table dégâts brute'!$F$76</x:f>
        <x:v>2</x:v>
      </x:c>
      <x:c r="K84" s="61" t="str">
        <x:v>0x09277040; niveau + 0x41</x:v>
      </x:c>
      <x:c r="L84" s="61" t="str">
        <x:v>Courbe par tick confirmée</x:v>
      </x:c>
      <x:c r="M84" s="61" t="str">
        <x:v>Élevée</x:v>
      </x:c>
      <x:c r="N84" s="61" t="str">
        <x:v>Le scan vanilla est modulo 3 à 30 Hz, soit environ 10 événements/s.</x:v>
      </x:c>
    </x:row>
    <x:row r="85">
      <x:c r="A85" s="55" t="str">
        <x:v>Incinérator</x:v>
      </x:c>
      <x:c r="B85" s="55" t="str">
        <x:v>Flamme – tick principal</x:v>
      </x:c>
      <x:c r="C85" s="55" t="n">
        <x:v>7</x:v>
      </x:c>
      <x:c r="D85" s="64" t="n">
        <x:v>71</x:v>
      </x:c>
      <x:c r="E85" s="55" t="str">
        <x:v>0940523Ch</x:v>
      </x:c>
      <x:c r="F85" s="64" t="n">
        <x:f>'Table dégâts brute'!$B$77</x:f>
        <x:v>1</x:v>
      </x:c>
      <x:c r="G85" s="67" t="n">
        <x:f>'Table dégâts brute'!$C$77</x:f>
        <x:v>10.000000953674316</x:v>
      </x:c>
      <x:c r="H85" s="67" t="n">
        <x:f>'Table dégâts brute'!$D$77</x:f>
        <x:v>10.000000953674316</x:v>
      </x:c>
      <x:c r="I85" s="64" t="n">
        <x:f>'Table dégâts brute'!$E$77</x:f>
        <x:v>0</x:v>
      </x:c>
      <x:c r="J85" s="64" t="n">
        <x:f>'Table dégâts brute'!$F$77</x:f>
        <x:v>2</x:v>
      </x:c>
      <x:c r="K85" s="61" t="str">
        <x:v>0x09277040; niveau + 0x41</x:v>
      </x:c>
      <x:c r="L85" s="61" t="str">
        <x:v>Courbe par tick confirmée</x:v>
      </x:c>
      <x:c r="M85" s="61" t="str">
        <x:v>Élevée</x:v>
      </x:c>
      <x:c r="N85" s="61" t="str">
        <x:v>Le scan vanilla est modulo 3 à 30 Hz, soit environ 10 événements/s.</x:v>
      </x:c>
    </x:row>
    <x:row r="86">
      <x:c r="A86" s="55" t="str">
        <x:v>Incinérator</x:v>
      </x:c>
      <x:c r="B86" s="55" t="str">
        <x:v>Flamme – tick principal</x:v>
      </x:c>
      <x:c r="C86" s="55" t="n">
        <x:v>8</x:v>
      </x:c>
      <x:c r="D86" s="64" t="n">
        <x:v>72</x:v>
      </x:c>
      <x:c r="E86" s="55" t="str">
        <x:v>0940524Ch</x:v>
      </x:c>
      <x:c r="F86" s="64" t="n">
        <x:f>'Table dégâts brute'!$B$78</x:f>
        <x:v>1</x:v>
      </x:c>
      <x:c r="G86" s="67" t="n">
        <x:f>'Table dégâts brute'!$C$78</x:f>
        <x:v>16.666667938232422</x:v>
      </x:c>
      <x:c r="H86" s="67" t="n">
        <x:f>'Table dégâts brute'!$D$78</x:f>
        <x:v>16.666667938232422</x:v>
      </x:c>
      <x:c r="I86" s="64" t="n">
        <x:f>'Table dégâts brute'!$E$78</x:f>
        <x:v>0</x:v>
      </x:c>
      <x:c r="J86" s="64" t="n">
        <x:f>'Table dégâts brute'!$F$78</x:f>
        <x:v>2</x:v>
      </x:c>
      <x:c r="K86" s="61" t="str">
        <x:v>0x09277040; niveau + 0x41</x:v>
      </x:c>
      <x:c r="L86" s="61" t="str">
        <x:v>Courbe par tick confirmée</x:v>
      </x:c>
      <x:c r="M86" s="61" t="str">
        <x:v>Élevée</x:v>
      </x:c>
      <x:c r="N86" s="61" t="str">
        <x:v>Le scan vanilla est modulo 3 à 30 Hz, soit environ 10 événements/s.</x:v>
      </x:c>
    </x:row>
    <x:row r="87">
      <x:c r="A87" s="55" t="str">
        <x:v>Incinérator</x:v>
      </x:c>
      <x:c r="B87" s="55" t="str">
        <x:v>Flamme – voie secondaire</x:v>
      </x:c>
      <x:c r="C87" s="55" t="n">
        <x:v>1</x:v>
      </x:c>
      <x:c r="D87" s="64" t="n">
        <x:v>73</x:v>
      </x:c>
      <x:c r="E87" s="55" t="str">
        <x:v>0940525Ch</x:v>
      </x:c>
      <x:c r="F87" s="64" t="n">
        <x:f>'Table dégâts brute'!$B$79</x:f>
        <x:v>1</x:v>
      </x:c>
      <x:c r="G87" s="67" t="n">
        <x:f>'Table dégâts brute'!$C$79</x:f>
        <x:v>0.10000000894069672</x:v>
      </x:c>
      <x:c r="H87" s="67" t="n">
        <x:f>'Table dégâts brute'!$D$79</x:f>
        <x:v>0.10000000894069672</x:v>
      </x:c>
      <x:c r="I87" s="64" t="n">
        <x:f>'Table dégâts brute'!$E$79</x:f>
        <x:v>0</x:v>
      </x:c>
      <x:c r="J87" s="64" t="n">
        <x:f>'Table dégâts brute'!$F$79</x:f>
        <x:v>0</x:v>
      </x:c>
      <x:c r="K87" s="61" t="str">
        <x:v>0x09277050; niveau + 0x49</x:v>
      </x:c>
      <x:c r="L87" s="61" t="str">
        <x:v>Courbe secondaire confirmée</x:v>
      </x:c>
      <x:c r="M87" s="61" t="str">
        <x:v>Élevée</x:v>
      </x:c>
      <x:c r="N87" s="61" t="str"/>
    </x:row>
    <x:row r="88">
      <x:c r="A88" s="55" t="str">
        <x:v>Incinérator</x:v>
      </x:c>
      <x:c r="B88" s="55" t="str">
        <x:v>Flamme – voie secondaire</x:v>
      </x:c>
      <x:c r="C88" s="55" t="n">
        <x:v>2</x:v>
      </x:c>
      <x:c r="D88" s="64" t="n">
        <x:v>74</x:v>
      </x:c>
      <x:c r="E88" s="55" t="str">
        <x:v>0940526Ch</x:v>
      </x:c>
      <x:c r="F88" s="64" t="n">
        <x:f>'Table dégâts brute'!$B$80</x:f>
        <x:v>1</x:v>
      </x:c>
      <x:c r="G88" s="67" t="n">
        <x:f>'Table dégâts brute'!$C$80</x:f>
        <x:v>0.20000001788139343</x:v>
      </x:c>
      <x:c r="H88" s="67" t="n">
        <x:f>'Table dégâts brute'!$D$80</x:f>
        <x:v>0.20000001788139343</x:v>
      </x:c>
      <x:c r="I88" s="64" t="n">
        <x:f>'Table dégâts brute'!$E$80</x:f>
        <x:v>0</x:v>
      </x:c>
      <x:c r="J88" s="64" t="n">
        <x:f>'Table dégâts brute'!$F$80</x:f>
        <x:v>0</x:v>
      </x:c>
      <x:c r="K88" s="61" t="str">
        <x:v>0x09277050; niveau + 0x49</x:v>
      </x:c>
      <x:c r="L88" s="61" t="str">
        <x:v>Courbe secondaire confirmée</x:v>
      </x:c>
      <x:c r="M88" s="61" t="str">
        <x:v>Élevée</x:v>
      </x:c>
      <x:c r="N88" s="61" t="str"/>
    </x:row>
    <x:row r="89">
      <x:c r="A89" s="55" t="str">
        <x:v>Incinérator</x:v>
      </x:c>
      <x:c r="B89" s="55" t="str">
        <x:v>Flamme – voie secondaire</x:v>
      </x:c>
      <x:c r="C89" s="55" t="n">
        <x:v>3</x:v>
      </x:c>
      <x:c r="D89" s="64" t="n">
        <x:v>75</x:v>
      </x:c>
      <x:c r="E89" s="55" t="str">
        <x:v>0940527Ch</x:v>
      </x:c>
      <x:c r="F89" s="64" t="n">
        <x:f>'Table dégâts brute'!$B$81</x:f>
        <x:v>1</x:v>
      </x:c>
      <x:c r="G89" s="67" t="n">
        <x:f>'Table dégâts brute'!$C$81</x:f>
        <x:v>0.3333333432674408</x:v>
      </x:c>
      <x:c r="H89" s="67" t="n">
        <x:f>'Table dégâts brute'!$D$81</x:f>
        <x:v>0.3333333432674408</x:v>
      </x:c>
      <x:c r="I89" s="64" t="n">
        <x:f>'Table dégâts brute'!$E$81</x:f>
        <x:v>0</x:v>
      </x:c>
      <x:c r="J89" s="64" t="n">
        <x:f>'Table dégâts brute'!$F$81</x:f>
        <x:v>0</x:v>
      </x:c>
      <x:c r="K89" s="61" t="str">
        <x:v>0x09277050; niveau + 0x49</x:v>
      </x:c>
      <x:c r="L89" s="61" t="str">
        <x:v>Courbe secondaire confirmée</x:v>
      </x:c>
      <x:c r="M89" s="61" t="str">
        <x:v>Élevée</x:v>
      </x:c>
      <x:c r="N89" s="61" t="str"/>
    </x:row>
    <x:row r="90">
      <x:c r="A90" s="55" t="str">
        <x:v>Incinérator</x:v>
      </x:c>
      <x:c r="B90" s="55" t="str">
        <x:v>Flamme – voie secondaire</x:v>
      </x:c>
      <x:c r="C90" s="55" t="n">
        <x:v>4</x:v>
      </x:c>
      <x:c r="D90" s="64" t="n">
        <x:v>76</x:v>
      </x:c>
      <x:c r="E90" s="55" t="str">
        <x:v>0940528Ch</x:v>
      </x:c>
      <x:c r="F90" s="64" t="n">
        <x:f>'Table dégâts brute'!$B$82</x:f>
        <x:v>1</x:v>
      </x:c>
      <x:c r="G90" s="67" t="n">
        <x:f>'Table dégâts brute'!$C$82</x:f>
        <x:v>0.5333333611488342</x:v>
      </x:c>
      <x:c r="H90" s="67" t="n">
        <x:f>'Table dégâts brute'!$D$82</x:f>
        <x:v>0.5333333611488342</x:v>
      </x:c>
      <x:c r="I90" s="64" t="n">
        <x:f>'Table dégâts brute'!$E$82</x:f>
        <x:v>0</x:v>
      </x:c>
      <x:c r="J90" s="64" t="n">
        <x:f>'Table dégâts brute'!$F$82</x:f>
        <x:v>0</x:v>
      </x:c>
      <x:c r="K90" s="61" t="str">
        <x:v>0x09277050; niveau + 0x49</x:v>
      </x:c>
      <x:c r="L90" s="61" t="str">
        <x:v>Courbe secondaire confirmée</x:v>
      </x:c>
      <x:c r="M90" s="61" t="str">
        <x:v>Élevée</x:v>
      </x:c>
      <x:c r="N90" s="61" t="str"/>
    </x:row>
    <x:row r="91">
      <x:c r="A91" s="55" t="str">
        <x:v>Incinérator</x:v>
      </x:c>
      <x:c r="B91" s="55" t="str">
        <x:v>Flamme – voie secondaire</x:v>
      </x:c>
      <x:c r="C91" s="55" t="n">
        <x:v>5</x:v>
      </x:c>
      <x:c r="D91" s="64" t="n">
        <x:v>77</x:v>
      </x:c>
      <x:c r="E91" s="55" t="str">
        <x:v>0940529Ch</x:v>
      </x:c>
      <x:c r="F91" s="64" t="n">
        <x:f>'Table dégâts brute'!$B$83</x:f>
        <x:v>1</x:v>
      </x:c>
      <x:c r="G91" s="67" t="n">
        <x:f>'Table dégâts brute'!$C$83</x:f>
        <x:v>1.3333333730697632</x:v>
      </x:c>
      <x:c r="H91" s="67" t="n">
        <x:f>'Table dégâts brute'!$D$83</x:f>
        <x:v>1.3333333730697632</x:v>
      </x:c>
      <x:c r="I91" s="64" t="n">
        <x:f>'Table dégâts brute'!$E$83</x:f>
        <x:v>0</x:v>
      </x:c>
      <x:c r="J91" s="64" t="n">
        <x:f>'Table dégâts brute'!$F$83</x:f>
        <x:v>0</x:v>
      </x:c>
      <x:c r="K91" s="61" t="str">
        <x:v>0x09277050; niveau + 0x49</x:v>
      </x:c>
      <x:c r="L91" s="61" t="str">
        <x:v>Courbe secondaire confirmée</x:v>
      </x:c>
      <x:c r="M91" s="61" t="str">
        <x:v>Élevée</x:v>
      </x:c>
      <x:c r="N91" s="61" t="str"/>
    </x:row>
    <x:row r="92">
      <x:c r="A92" s="55" t="str">
        <x:v>Incinérator</x:v>
      </x:c>
      <x:c r="B92" s="55" t="str">
        <x:v>Flamme – voie secondaire</x:v>
      </x:c>
      <x:c r="C92" s="55" t="n">
        <x:v>6</x:v>
      </x:c>
      <x:c r="D92" s="64" t="n">
        <x:v>78</x:v>
      </x:c>
      <x:c r="E92" s="55" t="str">
        <x:v>094052ACh</x:v>
      </x:c>
      <x:c r="F92" s="64" t="n">
        <x:f>'Table dégâts brute'!$B$84</x:f>
        <x:v>1</x:v>
      </x:c>
      <x:c r="G92" s="67" t="n">
        <x:f>'Table dégâts brute'!$C$84</x:f>
        <x:v>1.8333333730697632</x:v>
      </x:c>
      <x:c r="H92" s="67" t="n">
        <x:f>'Table dégâts brute'!$D$84</x:f>
        <x:v>1.8333333730697632</x:v>
      </x:c>
      <x:c r="I92" s="64" t="n">
        <x:f>'Table dégâts brute'!$E$84</x:f>
        <x:v>0</x:v>
      </x:c>
      <x:c r="J92" s="64" t="n">
        <x:f>'Table dégâts brute'!$F$84</x:f>
        <x:v>0</x:v>
      </x:c>
      <x:c r="K92" s="61" t="str">
        <x:v>0x09277050; niveau + 0x49</x:v>
      </x:c>
      <x:c r="L92" s="61" t="str">
        <x:v>Courbe secondaire confirmée</x:v>
      </x:c>
      <x:c r="M92" s="61" t="str">
        <x:v>Élevée</x:v>
      </x:c>
      <x:c r="N92" s="61" t="str"/>
    </x:row>
    <x:row r="93">
      <x:c r="A93" s="55" t="str">
        <x:v>Incinérator</x:v>
      </x:c>
      <x:c r="B93" s="55" t="str">
        <x:v>Flamme – voie secondaire</x:v>
      </x:c>
      <x:c r="C93" s="55" t="n">
        <x:v>7</x:v>
      </x:c>
      <x:c r="D93" s="64" t="n">
        <x:v>79</x:v>
      </x:c>
      <x:c r="E93" s="55" t="str">
        <x:v>094052BCh</x:v>
      </x:c>
      <x:c r="F93" s="64" t="n">
        <x:f>'Table dégâts brute'!$B$85</x:f>
        <x:v>1</x:v>
      </x:c>
      <x:c r="G93" s="67" t="n">
        <x:f>'Table dégâts brute'!$C$85</x:f>
        <x:v>2.6666667461395264</x:v>
      </x:c>
      <x:c r="H93" s="67" t="n">
        <x:f>'Table dégâts brute'!$D$85</x:f>
        <x:v>2.6666667461395264</x:v>
      </x:c>
      <x:c r="I93" s="64" t="n">
        <x:f>'Table dégâts brute'!$E$85</x:f>
        <x:v>0</x:v>
      </x:c>
      <x:c r="J93" s="64" t="n">
        <x:f>'Table dégâts brute'!$F$85</x:f>
        <x:v>0</x:v>
      </x:c>
      <x:c r="K93" s="61" t="str">
        <x:v>0x09277050; niveau + 0x49</x:v>
      </x:c>
      <x:c r="L93" s="61" t="str">
        <x:v>Courbe secondaire confirmée</x:v>
      </x:c>
      <x:c r="M93" s="61" t="str">
        <x:v>Élevée</x:v>
      </x:c>
      <x:c r="N93" s="61" t="str"/>
    </x:row>
    <x:row r="94">
      <x:c r="A94" s="55" t="str">
        <x:v>Incinérator</x:v>
      </x:c>
      <x:c r="B94" s="55" t="str">
        <x:v>Flamme – voie secondaire</x:v>
      </x:c>
      <x:c r="C94" s="55" t="n">
        <x:v>8</x:v>
      </x:c>
      <x:c r="D94" s="64" t="n">
        <x:v>80</x:v>
      </x:c>
      <x:c r="E94" s="55" t="str">
        <x:v>094052CCh</x:v>
      </x:c>
      <x:c r="F94" s="64" t="n">
        <x:f>'Table dégâts brute'!$B$86</x:f>
        <x:v>1</x:v>
      </x:c>
      <x:c r="G94" s="67" t="n">
        <x:f>'Table dégâts brute'!$C$86</x:f>
        <x:v>4.6666669845581055</x:v>
      </x:c>
      <x:c r="H94" s="67" t="n">
        <x:f>'Table dégâts brute'!$D$86</x:f>
        <x:v>4.6666669845581055</x:v>
      </x:c>
      <x:c r="I94" s="64" t="n">
        <x:f>'Table dégâts brute'!$E$86</x:f>
        <x:v>0</x:v>
      </x:c>
      <x:c r="J94" s="64" t="n">
        <x:f>'Table dégâts brute'!$F$86</x:f>
        <x:v>0</x:v>
      </x:c>
      <x:c r="K94" s="61" t="str">
        <x:v>0x09277050; niveau + 0x49</x:v>
      </x:c>
      <x:c r="L94" s="61" t="str">
        <x:v>Courbe secondaire confirmée</x:v>
      </x:c>
      <x:c r="M94" s="61" t="str">
        <x:v>Élevée</x:v>
      </x:c>
      <x:c r="N94" s="61" t="str"/>
    </x:row>
    <x:row r="95">
      <x:c r="A95" s="55" t="str">
        <x:v>Bovinator</x:v>
      </x:c>
      <x:c r="B95" s="55" t="str">
        <x:v>Transformation / auxiliaires</x:v>
      </x:c>
      <x:c r="C95" s="55" t="str">
        <x:v>—</x:v>
      </x:c>
      <x:c r="D95" s="64" t="n">
        <x:v>81</x:v>
      </x:c>
      <x:c r="E95" s="55" t="str">
        <x:v>094052DCh</x:v>
      </x:c>
      <x:c r="F95" s="64" t="n">
        <x:f>'Table dégâts brute'!$B$87</x:f>
        <x:v>0</x:v>
      </x:c>
      <x:c r="G95" s="67" t="n">
        <x:f>'Table dégâts brute'!$C$87</x:f>
        <x:v>70</x:v>
      </x:c>
      <x:c r="H95" s="67" t="n">
        <x:f>'Table dégâts brute'!$D$87</x:f>
        <x:v>70</x:v>
      </x:c>
      <x:c r="I95" s="64" t="n">
        <x:f>'Table dégâts brute'!$E$87</x:f>
        <x:v>1</x:v>
      </x:c>
      <x:c r="J95" s="64" t="n">
        <x:f>'Table dégâts brute'!$F$87</x:f>
        <x:v>3</x:v>
      </x:c>
      <x:c r="K95" s="61" t="str">
        <x:v>Chaîne Mootator/Spitfire</x:v>
      </x:c>
      <x:c r="L95" s="61" t="str">
        <x:v>Indices fixes, rôles détaillés partiels</x:v>
      </x:c>
      <x:c r="M95" s="61" t="str">
        <x:v>Moyenne</x:v>
      </x:c>
      <x:c r="N95" s="61" t="str"/>
    </x:row>
    <x:row r="96">
      <x:c r="A96" s="55" t="str">
        <x:v>Bovinator</x:v>
      </x:c>
      <x:c r="B96" s="55" t="str">
        <x:v>Transformation / auxiliaires</x:v>
      </x:c>
      <x:c r="C96" s="55" t="str">
        <x:v>—</x:v>
      </x:c>
      <x:c r="D96" s="64" t="n">
        <x:v>82</x:v>
      </x:c>
      <x:c r="E96" s="55" t="str">
        <x:v>094052ECh</x:v>
      </x:c>
      <x:c r="F96" s="64" t="n">
        <x:f>'Table dégâts brute'!$B$88</x:f>
        <x:v>1</x:v>
      </x:c>
      <x:c r="G96" s="67" t="n">
        <x:f>'Table dégâts brute'!$C$88</x:f>
        <x:v>1</x:v>
      </x:c>
      <x:c r="H96" s="67" t="n">
        <x:f>'Table dégâts brute'!$D$88</x:f>
        <x:v>1</x:v>
      </x:c>
      <x:c r="I96" s="64" t="n">
        <x:f>'Table dégâts brute'!$E$88</x:f>
        <x:v>0</x:v>
      </x:c>
      <x:c r="J96" s="64" t="n">
        <x:f>'Table dégâts brute'!$F$88</x:f>
        <x:v>0</x:v>
      </x:c>
      <x:c r="K96" s="61" t="str">
        <x:v>Chaîne Mootator/Spitfire</x:v>
      </x:c>
      <x:c r="L96" s="61" t="str">
        <x:v>Indices fixes, rôles détaillés partiels</x:v>
      </x:c>
      <x:c r="M96" s="61" t="str">
        <x:v>Moyenne</x:v>
      </x:c>
      <x:c r="N96" s="61" t="str"/>
    </x:row>
    <x:row r="97">
      <x:c r="A97" s="55" t="str">
        <x:v>Bovinator</x:v>
      </x:c>
      <x:c r="B97" s="55" t="str">
        <x:v>Transformation / auxiliaires</x:v>
      </x:c>
      <x:c r="C97" s="55" t="str">
        <x:v>—</x:v>
      </x:c>
      <x:c r="D97" s="64" t="n">
        <x:v>83</x:v>
      </x:c>
      <x:c r="E97" s="55" t="str">
        <x:v>094052FCh</x:v>
      </x:c>
      <x:c r="F97" s="64" t="n">
        <x:f>'Table dégâts brute'!$B$89</x:f>
        <x:v>0</x:v>
      </x:c>
      <x:c r="G97" s="67" t="n">
        <x:f>'Table dégâts brute'!$C$89</x:f>
        <x:v>0</x:v>
      </x:c>
      <x:c r="H97" s="67" t="n">
        <x:f>'Table dégâts brute'!$D$89</x:f>
        <x:v>0</x:v>
      </x:c>
      <x:c r="I97" s="64" t="n">
        <x:f>'Table dégâts brute'!$E$89</x:f>
        <x:v>10</x:v>
      </x:c>
      <x:c r="J97" s="64" t="n">
        <x:f>'Table dégâts brute'!$F$89</x:f>
        <x:v>1</x:v>
      </x:c>
      <x:c r="K97" s="61" t="str">
        <x:v>Chaîne Mootator/Spitfire</x:v>
      </x:c>
      <x:c r="L97" s="61" t="str">
        <x:v>Indices fixes, rôles détaillés partiels</x:v>
      </x:c>
      <x:c r="M97" s="61" t="str">
        <x:v>Moyenne</x:v>
      </x:c>
      <x:c r="N97" s="61" t="str"/>
    </x:row>
    <x:row r="98">
      <x:c r="A98" s="55" t="str">
        <x:v>Bovinator</x:v>
      </x:c>
      <x:c r="B98" s="55" t="str">
        <x:v>Transformation / auxiliaires</x:v>
      </x:c>
      <x:c r="C98" s="55" t="str">
        <x:v>—</x:v>
      </x:c>
      <x:c r="D98" s="64" t="n">
        <x:v>84</x:v>
      </x:c>
      <x:c r="E98" s="55" t="str">
        <x:v>0940530Ch</x:v>
      </x:c>
      <x:c r="F98" s="64" t="n">
        <x:f>'Table dégâts brute'!$B$90</x:f>
        <x:v>0</x:v>
      </x:c>
      <x:c r="G98" s="67" t="n">
        <x:f>'Table dégâts brute'!$C$90</x:f>
        <x:v>12</x:v>
      </x:c>
      <x:c r="H98" s="67" t="n">
        <x:f>'Table dégâts brute'!$D$90</x:f>
        <x:v>12</x:v>
      </x:c>
      <x:c r="I98" s="64" t="n">
        <x:f>'Table dégâts brute'!$E$90</x:f>
        <x:v>0</x:v>
      </x:c>
      <x:c r="J98" s="64" t="n">
        <x:f>'Table dégâts brute'!$F$90</x:f>
        <x:v>3</x:v>
      </x:c>
      <x:c r="K98" s="61" t="str">
        <x:v>Chaîne Mootator/Spitfire</x:v>
      </x:c>
      <x:c r="L98" s="61" t="str">
        <x:v>Indices fixes, rôles détaillés partiels</x:v>
      </x:c>
      <x:c r="M98" s="61" t="str">
        <x:v>Moyenne</x:v>
      </x:c>
      <x:c r="N98" s="61" t="str"/>
    </x:row>
    <x:row r="99">
      <x:c r="A99" s="55" t="str">
        <x:v>Roquette Éclair</x:v>
      </x:c>
      <x:c r="B99" s="55" t="str">
        <x:v>Impact / explosion A</x:v>
      </x:c>
      <x:c r="C99" s="55" t="n">
        <x:v>1</x:v>
      </x:c>
      <x:c r="D99" s="64" t="n">
        <x:v>85</x:v>
      </x:c>
      <x:c r="E99" s="55" t="str">
        <x:v>0940531Ch</x:v>
      </x:c>
      <x:c r="F99" s="64" t="n">
        <x:f>'Table dégâts brute'!$B$91</x:f>
        <x:v>0</x:v>
      </x:c>
      <x:c r="G99" s="67" t="n">
        <x:f>'Table dégâts brute'!$C$91</x:f>
        <x:v>24</x:v>
      </x:c>
      <x:c r="H99" s="67" t="n">
        <x:f>'Table dégâts brute'!$D$91</x:f>
        <x:v>24</x:v>
      </x:c>
      <x:c r="I99" s="64" t="n">
        <x:f>'Table dégâts brute'!$E$91</x:f>
        <x:v>0</x:v>
      </x:c>
      <x:c r="J99" s="64" t="n">
        <x:f>'Table dégâts brute'!$F$91</x:f>
        <x:v>1</x:v>
      </x:c>
      <x:c r="K99" s="61" t="str">
        <x:v>0x092AB490; niveau + 0x55</x:v>
      </x:c>
      <x:c r="L99" s="61" t="str">
        <x:v>Courbe V1–V8 confirmée</x:v>
      </x:c>
      <x:c r="M99" s="61" t="str">
        <x:v>Élevée</x:v>
      </x:c>
      <x:c r="N99" s="61" t="str"/>
    </x:row>
    <x:row r="100">
      <x:c r="A100" s="55" t="str">
        <x:v>Roquette Éclair</x:v>
      </x:c>
      <x:c r="B100" s="55" t="str">
        <x:v>Impact / explosion A</x:v>
      </x:c>
      <x:c r="C100" s="55" t="n">
        <x:v>2</x:v>
      </x:c>
      <x:c r="D100" s="64" t="n">
        <x:v>86</x:v>
      </x:c>
      <x:c r="E100" s="55" t="str">
        <x:v>0940532Ch</x:v>
      </x:c>
      <x:c r="F100" s="64" t="n">
        <x:f>'Table dégâts brute'!$B$92</x:f>
        <x:v>0</x:v>
      </x:c>
      <x:c r="G100" s="67" t="n">
        <x:f>'Table dégâts brute'!$C$92</x:f>
        <x:v>32</x:v>
      </x:c>
      <x:c r="H100" s="67" t="n">
        <x:f>'Table dégâts brute'!$D$92</x:f>
        <x:v>32</x:v>
      </x:c>
      <x:c r="I100" s="64" t="n">
        <x:f>'Table dégâts brute'!$E$92</x:f>
        <x:v>0</x:v>
      </x:c>
      <x:c r="J100" s="64" t="n">
        <x:f>'Table dégâts brute'!$F$92</x:f>
        <x:v>1</x:v>
      </x:c>
      <x:c r="K100" s="61" t="str">
        <x:v>0x092AB490; niveau + 0x55</x:v>
      </x:c>
      <x:c r="L100" s="61" t="str">
        <x:v>Courbe V1–V8 confirmée</x:v>
      </x:c>
      <x:c r="M100" s="61" t="str">
        <x:v>Élevée</x:v>
      </x:c>
      <x:c r="N100" s="61" t="str"/>
    </x:row>
    <x:row r="101">
      <x:c r="A101" s="55" t="str">
        <x:v>Roquette Éclair</x:v>
      </x:c>
      <x:c r="B101" s="55" t="str">
        <x:v>Impact / explosion A</x:v>
      </x:c>
      <x:c r="C101" s="55" t="n">
        <x:v>3</x:v>
      </x:c>
      <x:c r="D101" s="64" t="n">
        <x:v>87</x:v>
      </x:c>
      <x:c r="E101" s="55" t="str">
        <x:v>0940533Ch</x:v>
      </x:c>
      <x:c r="F101" s="64" t="n">
        <x:f>'Table dégâts brute'!$B$93</x:f>
        <x:v>0</x:v>
      </x:c>
      <x:c r="G101" s="67" t="n">
        <x:f>'Table dégâts brute'!$C$93</x:f>
        <x:v>45</x:v>
      </x:c>
      <x:c r="H101" s="67" t="n">
        <x:f>'Table dégâts brute'!$D$93</x:f>
        <x:v>45</x:v>
      </x:c>
      <x:c r="I101" s="64" t="n">
        <x:f>'Table dégâts brute'!$E$93</x:f>
        <x:v>0</x:v>
      </x:c>
      <x:c r="J101" s="64" t="n">
        <x:f>'Table dégâts brute'!$F$93</x:f>
        <x:v>1</x:v>
      </x:c>
      <x:c r="K101" s="61" t="str">
        <x:v>0x092AB490; niveau + 0x55</x:v>
      </x:c>
      <x:c r="L101" s="61" t="str">
        <x:v>Courbe V1–V8 confirmée</x:v>
      </x:c>
      <x:c r="M101" s="61" t="str">
        <x:v>Élevée</x:v>
      </x:c>
      <x:c r="N101" s="61" t="str"/>
    </x:row>
    <x:row r="102">
      <x:c r="A102" s="55" t="str">
        <x:v>Roquette Éclair</x:v>
      </x:c>
      <x:c r="B102" s="55" t="str">
        <x:v>Impact / explosion A</x:v>
      </x:c>
      <x:c r="C102" s="55" t="n">
        <x:v>4</x:v>
      </x:c>
      <x:c r="D102" s="64" t="n">
        <x:v>88</x:v>
      </x:c>
      <x:c r="E102" s="55" t="str">
        <x:v>0940534Ch</x:v>
      </x:c>
      <x:c r="F102" s="64" t="n">
        <x:f>'Table dégâts brute'!$B$94</x:f>
        <x:v>0</x:v>
      </x:c>
      <x:c r="G102" s="67" t="n">
        <x:f>'Table dégâts brute'!$C$94</x:f>
        <x:v>60</x:v>
      </x:c>
      <x:c r="H102" s="67" t="n">
        <x:f>'Table dégâts brute'!$D$94</x:f>
        <x:v>60</x:v>
      </x:c>
      <x:c r="I102" s="64" t="n">
        <x:f>'Table dégâts brute'!$E$94</x:f>
        <x:v>0</x:v>
      </x:c>
      <x:c r="J102" s="64" t="n">
        <x:f>'Table dégâts brute'!$F$94</x:f>
        <x:v>1</x:v>
      </x:c>
      <x:c r="K102" s="61" t="str">
        <x:v>0x092AB490; niveau + 0x55</x:v>
      </x:c>
      <x:c r="L102" s="61" t="str">
        <x:v>Courbe V1–V8 confirmée</x:v>
      </x:c>
      <x:c r="M102" s="61" t="str">
        <x:v>Élevée</x:v>
      </x:c>
      <x:c r="N102" s="61" t="str"/>
    </x:row>
    <x:row r="103">
      <x:c r="A103" s="55" t="str">
        <x:v>Roquette Éclair</x:v>
      </x:c>
      <x:c r="B103" s="55" t="str">
        <x:v>Impact / explosion A</x:v>
      </x:c>
      <x:c r="C103" s="55" t="n">
        <x:v>5</x:v>
      </x:c>
      <x:c r="D103" s="64" t="n">
        <x:v>89</x:v>
      </x:c>
      <x:c r="E103" s="55" t="str">
        <x:v>0940535Ch</x:v>
      </x:c>
      <x:c r="F103" s="64" t="n">
        <x:f>'Table dégâts brute'!$B$95</x:f>
        <x:v>0</x:v>
      </x:c>
      <x:c r="G103" s="67" t="n">
        <x:f>'Table dégâts brute'!$C$95</x:f>
        <x:v>85</x:v>
      </x:c>
      <x:c r="H103" s="67" t="n">
        <x:f>'Table dégâts brute'!$D$95</x:f>
        <x:v>85</x:v>
      </x:c>
      <x:c r="I103" s="64" t="n">
        <x:f>'Table dégâts brute'!$E$95</x:f>
        <x:v>0</x:v>
      </x:c>
      <x:c r="J103" s="64" t="n">
        <x:f>'Table dégâts brute'!$F$95</x:f>
        <x:v>1</x:v>
      </x:c>
      <x:c r="K103" s="61" t="str">
        <x:v>0x092AB490; niveau + 0x55</x:v>
      </x:c>
      <x:c r="L103" s="61" t="str">
        <x:v>Courbe V1–V8 confirmée</x:v>
      </x:c>
      <x:c r="M103" s="61" t="str">
        <x:v>Élevée</x:v>
      </x:c>
      <x:c r="N103" s="61" t="str"/>
    </x:row>
    <x:row r="104">
      <x:c r="A104" s="55" t="str">
        <x:v>Roquette Éclair</x:v>
      </x:c>
      <x:c r="B104" s="55" t="str">
        <x:v>Impact / explosion A</x:v>
      </x:c>
      <x:c r="C104" s="55" t="n">
        <x:v>6</x:v>
      </x:c>
      <x:c r="D104" s="64" t="n">
        <x:v>90</x:v>
      </x:c>
      <x:c r="E104" s="55" t="str">
        <x:v>0940536Ch</x:v>
      </x:c>
      <x:c r="F104" s="64" t="n">
        <x:f>'Table dégâts brute'!$B$96</x:f>
        <x:v>0</x:v>
      </x:c>
      <x:c r="G104" s="67" t="n">
        <x:f>'Table dégâts brute'!$C$96</x:f>
        <x:v>120</x:v>
      </x:c>
      <x:c r="H104" s="67" t="n">
        <x:f>'Table dégâts brute'!$D$96</x:f>
        <x:v>120</x:v>
      </x:c>
      <x:c r="I104" s="64" t="n">
        <x:f>'Table dégâts brute'!$E$96</x:f>
        <x:v>0</x:v>
      </x:c>
      <x:c r="J104" s="64" t="n">
        <x:f>'Table dégâts brute'!$F$96</x:f>
        <x:v>1</x:v>
      </x:c>
      <x:c r="K104" s="61" t="str">
        <x:v>0x092AB490; niveau + 0x55</x:v>
      </x:c>
      <x:c r="L104" s="61" t="str">
        <x:v>Courbe V1–V8 confirmée</x:v>
      </x:c>
      <x:c r="M104" s="61" t="str">
        <x:v>Élevée</x:v>
      </x:c>
      <x:c r="N104" s="61" t="str"/>
    </x:row>
    <x:row r="105">
      <x:c r="A105" s="55" t="str">
        <x:v>Roquette Éclair</x:v>
      </x:c>
      <x:c r="B105" s="55" t="str">
        <x:v>Impact / explosion A</x:v>
      </x:c>
      <x:c r="C105" s="55" t="n">
        <x:v>7</x:v>
      </x:c>
      <x:c r="D105" s="64" t="n">
        <x:v>91</x:v>
      </x:c>
      <x:c r="E105" s="55" t="str">
        <x:v>0940537Ch</x:v>
      </x:c>
      <x:c r="F105" s="64" t="n">
        <x:f>'Table dégâts brute'!$B$97</x:f>
        <x:v>0</x:v>
      </x:c>
      <x:c r="G105" s="67" t="n">
        <x:f>'Table dégâts brute'!$C$97</x:f>
        <x:v>170</x:v>
      </x:c>
      <x:c r="H105" s="67" t="n">
        <x:f>'Table dégâts brute'!$D$97</x:f>
        <x:v>170</x:v>
      </x:c>
      <x:c r="I105" s="64" t="n">
        <x:f>'Table dégâts brute'!$E$97</x:f>
        <x:v>0</x:v>
      </x:c>
      <x:c r="J105" s="64" t="n">
        <x:f>'Table dégâts brute'!$F$97</x:f>
        <x:v>1</x:v>
      </x:c>
      <x:c r="K105" s="61" t="str">
        <x:v>0x092AB490; niveau + 0x55</x:v>
      </x:c>
      <x:c r="L105" s="61" t="str">
        <x:v>Courbe V1–V8 confirmée</x:v>
      </x:c>
      <x:c r="M105" s="61" t="str">
        <x:v>Élevée</x:v>
      </x:c>
      <x:c r="N105" s="61" t="str"/>
    </x:row>
    <x:row r="106">
      <x:c r="A106" s="55" t="str">
        <x:v>Roquette Éclair</x:v>
      </x:c>
      <x:c r="B106" s="55" t="str">
        <x:v>Impact / explosion A</x:v>
      </x:c>
      <x:c r="C106" s="55" t="n">
        <x:v>8</x:v>
      </x:c>
      <x:c r="D106" s="64" t="n">
        <x:v>92</x:v>
      </x:c>
      <x:c r="E106" s="55" t="str">
        <x:v>0940538Ch</x:v>
      </x:c>
      <x:c r="F106" s="64" t="n">
        <x:f>'Table dégâts brute'!$B$98</x:f>
        <x:v>0</x:v>
      </x:c>
      <x:c r="G106" s="67" t="n">
        <x:f>'Table dégâts brute'!$C$98</x:f>
        <x:v>250</x:v>
      </x:c>
      <x:c r="H106" s="67" t="n">
        <x:f>'Table dégâts brute'!$D$98</x:f>
        <x:v>250</x:v>
      </x:c>
      <x:c r="I106" s="64" t="n">
        <x:f>'Table dégâts brute'!$E$98</x:f>
        <x:v>0</x:v>
      </x:c>
      <x:c r="J106" s="64" t="n">
        <x:f>'Table dégâts brute'!$F$98</x:f>
        <x:v>1</x:v>
      </x:c>
      <x:c r="K106" s="61" t="str">
        <x:v>0x092AB490; niveau + 0x55</x:v>
      </x:c>
      <x:c r="L106" s="61" t="str">
        <x:v>Courbe V1–V8 confirmée</x:v>
      </x:c>
      <x:c r="M106" s="61" t="str">
        <x:v>Élevée</x:v>
      </x:c>
      <x:c r="N106" s="61" t="str"/>
    </x:row>
    <x:row r="107">
      <x:c r="A107" s="55" t="str">
        <x:v>Roquette Éclair</x:v>
      </x:c>
      <x:c r="B107" s="55" t="str">
        <x:v>Impact / explosion B</x:v>
      </x:c>
      <x:c r="C107" s="55" t="n">
        <x:v>1</x:v>
      </x:c>
      <x:c r="D107" s="64" t="n">
        <x:v>93</x:v>
      </x:c>
      <x:c r="E107" s="55" t="str">
        <x:v>0940539Ch</x:v>
      </x:c>
      <x:c r="F107" s="64" t="n">
        <x:f>'Table dégâts brute'!$B$99</x:f>
        <x:v>0</x:v>
      </x:c>
      <x:c r="G107" s="67" t="n">
        <x:f>'Table dégâts brute'!$C$99</x:f>
        <x:v>48</x:v>
      </x:c>
      <x:c r="H107" s="67" t="n">
        <x:f>'Table dégâts brute'!$D$99</x:f>
        <x:v>48</x:v>
      </x:c>
      <x:c r="I107" s="64" t="n">
        <x:f>'Table dégâts brute'!$E$99</x:f>
        <x:v>1</x:v>
      </x:c>
      <x:c r="J107" s="64" t="n">
        <x:f>'Table dégâts brute'!$F$99</x:f>
        <x:v>2</x:v>
      </x:c>
      <x:c r="K107" s="61" t="str">
        <x:v>0x092AA99C; niveau + 0x5D</x:v>
      </x:c>
      <x:c r="L107" s="61" t="str">
        <x:v>Courbe V1–V8 confirmée</x:v>
      </x:c>
      <x:c r="M107" s="61" t="str">
        <x:v>Élevée</x:v>
      </x:c>
      <x:c r="N107" s="61" t="str"/>
    </x:row>
    <x:row r="108">
      <x:c r="A108" s="55" t="str">
        <x:v>Roquette Éclair</x:v>
      </x:c>
      <x:c r="B108" s="55" t="str">
        <x:v>Impact / explosion B</x:v>
      </x:c>
      <x:c r="C108" s="55" t="n">
        <x:v>2</x:v>
      </x:c>
      <x:c r="D108" s="64" t="n">
        <x:v>94</x:v>
      </x:c>
      <x:c r="E108" s="55" t="str">
        <x:v>094053ACh</x:v>
      </x:c>
      <x:c r="F108" s="64" t="n">
        <x:f>'Table dégâts brute'!$B$100</x:f>
        <x:v>0</x:v>
      </x:c>
      <x:c r="G108" s="67" t="n">
        <x:f>'Table dégâts brute'!$C$100</x:f>
        <x:v>32</x:v>
      </x:c>
      <x:c r="H108" s="67" t="n">
        <x:f>'Table dégâts brute'!$D$100</x:f>
        <x:v>32</x:v>
      </x:c>
      <x:c r="I108" s="64" t="n">
        <x:f>'Table dégâts brute'!$E$100</x:f>
        <x:v>1</x:v>
      </x:c>
      <x:c r="J108" s="64" t="n">
        <x:f>'Table dégâts brute'!$F$100</x:f>
        <x:v>2</x:v>
      </x:c>
      <x:c r="K108" s="61" t="str">
        <x:v>0x092AA99C; niveau + 0x5D</x:v>
      </x:c>
      <x:c r="L108" s="61" t="str">
        <x:v>Courbe V1–V8 confirmée</x:v>
      </x:c>
      <x:c r="M108" s="61" t="str">
        <x:v>Élevée</x:v>
      </x:c>
      <x:c r="N108" s="61" t="str"/>
    </x:row>
    <x:row r="109">
      <x:c r="A109" s="55" t="str">
        <x:v>Roquette Éclair</x:v>
      </x:c>
      <x:c r="B109" s="55" t="str">
        <x:v>Impact / explosion B</x:v>
      </x:c>
      <x:c r="C109" s="55" t="n">
        <x:v>3</x:v>
      </x:c>
      <x:c r="D109" s="64" t="n">
        <x:v>95</x:v>
      </x:c>
      <x:c r="E109" s="55" t="str">
        <x:v>094053BCh</x:v>
      </x:c>
      <x:c r="F109" s="64" t="n">
        <x:f>'Table dégâts brute'!$B$101</x:f>
        <x:v>0</x:v>
      </x:c>
      <x:c r="G109" s="67" t="n">
        <x:f>'Table dégâts brute'!$C$101</x:f>
        <x:v>45</x:v>
      </x:c>
      <x:c r="H109" s="67" t="n">
        <x:f>'Table dégâts brute'!$D$101</x:f>
        <x:v>45</x:v>
      </x:c>
      <x:c r="I109" s="64" t="n">
        <x:f>'Table dégâts brute'!$E$101</x:f>
        <x:v>1</x:v>
      </x:c>
      <x:c r="J109" s="64" t="n">
        <x:f>'Table dégâts brute'!$F$101</x:f>
        <x:v>2</x:v>
      </x:c>
      <x:c r="K109" s="61" t="str">
        <x:v>0x092AA99C; niveau + 0x5D</x:v>
      </x:c>
      <x:c r="L109" s="61" t="str">
        <x:v>Courbe V1–V8 confirmée</x:v>
      </x:c>
      <x:c r="M109" s="61" t="str">
        <x:v>Élevée</x:v>
      </x:c>
      <x:c r="N109" s="61" t="str"/>
    </x:row>
    <x:row r="110">
      <x:c r="A110" s="55" t="str">
        <x:v>Roquette Éclair</x:v>
      </x:c>
      <x:c r="B110" s="55" t="str">
        <x:v>Impact / explosion B</x:v>
      </x:c>
      <x:c r="C110" s="55" t="n">
        <x:v>4</x:v>
      </x:c>
      <x:c r="D110" s="64" t="n">
        <x:v>96</x:v>
      </x:c>
      <x:c r="E110" s="55" t="str">
        <x:v>094053CCh</x:v>
      </x:c>
      <x:c r="F110" s="64" t="n">
        <x:f>'Table dégâts brute'!$B$102</x:f>
        <x:v>0</x:v>
      </x:c>
      <x:c r="G110" s="67" t="n">
        <x:f>'Table dégâts brute'!$C$102</x:f>
        <x:v>60</x:v>
      </x:c>
      <x:c r="H110" s="67" t="n">
        <x:f>'Table dégâts brute'!$D$102</x:f>
        <x:v>60</x:v>
      </x:c>
      <x:c r="I110" s="64" t="n">
        <x:f>'Table dégâts brute'!$E$102</x:f>
        <x:v>1</x:v>
      </x:c>
      <x:c r="J110" s="64" t="n">
        <x:f>'Table dégâts brute'!$F$102</x:f>
        <x:v>2</x:v>
      </x:c>
      <x:c r="K110" s="61" t="str">
        <x:v>0x092AA99C; niveau + 0x5D</x:v>
      </x:c>
      <x:c r="L110" s="61" t="str">
        <x:v>Courbe V1–V8 confirmée</x:v>
      </x:c>
      <x:c r="M110" s="61" t="str">
        <x:v>Élevée</x:v>
      </x:c>
      <x:c r="N110" s="61" t="str"/>
    </x:row>
    <x:row r="111">
      <x:c r="A111" s="55" t="str">
        <x:v>Roquette Éclair</x:v>
      </x:c>
      <x:c r="B111" s="55" t="str">
        <x:v>Impact / explosion B</x:v>
      </x:c>
      <x:c r="C111" s="55" t="n">
        <x:v>5</x:v>
      </x:c>
      <x:c r="D111" s="64" t="n">
        <x:v>97</x:v>
      </x:c>
      <x:c r="E111" s="55" t="str">
        <x:v>094053DCh</x:v>
      </x:c>
      <x:c r="F111" s="64" t="n">
        <x:f>'Table dégâts brute'!$B$103</x:f>
        <x:v>0</x:v>
      </x:c>
      <x:c r="G111" s="67" t="n">
        <x:f>'Table dégâts brute'!$C$103</x:f>
        <x:v>85</x:v>
      </x:c>
      <x:c r="H111" s="67" t="n">
        <x:f>'Table dégâts brute'!$D$103</x:f>
        <x:v>85</x:v>
      </x:c>
      <x:c r="I111" s="64" t="n">
        <x:f>'Table dégâts brute'!$E$103</x:f>
        <x:v>1</x:v>
      </x:c>
      <x:c r="J111" s="64" t="n">
        <x:f>'Table dégâts brute'!$F$103</x:f>
        <x:v>2</x:v>
      </x:c>
      <x:c r="K111" s="61" t="str">
        <x:v>0x092AA99C; niveau + 0x5D</x:v>
      </x:c>
      <x:c r="L111" s="61" t="str">
        <x:v>Courbe V1–V8 confirmée</x:v>
      </x:c>
      <x:c r="M111" s="61" t="str">
        <x:v>Élevée</x:v>
      </x:c>
      <x:c r="N111" s="61" t="str"/>
    </x:row>
    <x:row r="112">
      <x:c r="A112" s="55" t="str">
        <x:v>Roquette Éclair</x:v>
      </x:c>
      <x:c r="B112" s="55" t="str">
        <x:v>Impact / explosion B</x:v>
      </x:c>
      <x:c r="C112" s="55" t="n">
        <x:v>6</x:v>
      </x:c>
      <x:c r="D112" s="64" t="n">
        <x:v>98</x:v>
      </x:c>
      <x:c r="E112" s="55" t="str">
        <x:v>094053ECh</x:v>
      </x:c>
      <x:c r="F112" s="64" t="n">
        <x:f>'Table dégâts brute'!$B$104</x:f>
        <x:v>0</x:v>
      </x:c>
      <x:c r="G112" s="67" t="n">
        <x:f>'Table dégâts brute'!$C$104</x:f>
        <x:v>120</x:v>
      </x:c>
      <x:c r="H112" s="67" t="n">
        <x:f>'Table dégâts brute'!$D$104</x:f>
        <x:v>120</x:v>
      </x:c>
      <x:c r="I112" s="64" t="n">
        <x:f>'Table dégâts brute'!$E$104</x:f>
        <x:v>1</x:v>
      </x:c>
      <x:c r="J112" s="64" t="n">
        <x:f>'Table dégâts brute'!$F$104</x:f>
        <x:v>2</x:v>
      </x:c>
      <x:c r="K112" s="61" t="str">
        <x:v>0x092AA99C; niveau + 0x5D</x:v>
      </x:c>
      <x:c r="L112" s="61" t="str">
        <x:v>Courbe V1–V8 confirmée</x:v>
      </x:c>
      <x:c r="M112" s="61" t="str">
        <x:v>Élevée</x:v>
      </x:c>
      <x:c r="N112" s="61" t="str"/>
    </x:row>
    <x:row r="113">
      <x:c r="A113" s="55" t="str">
        <x:v>Roquette Éclair</x:v>
      </x:c>
      <x:c r="B113" s="55" t="str">
        <x:v>Impact / explosion B</x:v>
      </x:c>
      <x:c r="C113" s="55" t="n">
        <x:v>7</x:v>
      </x:c>
      <x:c r="D113" s="64" t="n">
        <x:v>99</x:v>
      </x:c>
      <x:c r="E113" s="55" t="str">
        <x:v>094053FCh</x:v>
      </x:c>
      <x:c r="F113" s="64" t="n">
        <x:f>'Table dégâts brute'!$B$105</x:f>
        <x:v>0</x:v>
      </x:c>
      <x:c r="G113" s="67" t="n">
        <x:f>'Table dégâts brute'!$C$105</x:f>
        <x:v>170</x:v>
      </x:c>
      <x:c r="H113" s="67" t="n">
        <x:f>'Table dégâts brute'!$D$105</x:f>
        <x:v>170</x:v>
      </x:c>
      <x:c r="I113" s="64" t="n">
        <x:f>'Table dégâts brute'!$E$105</x:f>
        <x:v>1</x:v>
      </x:c>
      <x:c r="J113" s="64" t="n">
        <x:f>'Table dégâts brute'!$F$105</x:f>
        <x:v>2</x:v>
      </x:c>
      <x:c r="K113" s="61" t="str">
        <x:v>0x092AA99C; niveau + 0x5D</x:v>
      </x:c>
      <x:c r="L113" s="61" t="str">
        <x:v>Courbe V1–V8 confirmée</x:v>
      </x:c>
      <x:c r="M113" s="61" t="str">
        <x:v>Élevée</x:v>
      </x:c>
      <x:c r="N113" s="61" t="str"/>
    </x:row>
    <x:row r="114">
      <x:c r="A114" s="55" t="str">
        <x:v>Roquette Éclair</x:v>
      </x:c>
      <x:c r="B114" s="55" t="str">
        <x:v>Impact / explosion B</x:v>
      </x:c>
      <x:c r="C114" s="55" t="n">
        <x:v>8</x:v>
      </x:c>
      <x:c r="D114" s="64" t="n">
        <x:v>100</x:v>
      </x:c>
      <x:c r="E114" s="55" t="str">
        <x:v>0940540Ch</x:v>
      </x:c>
      <x:c r="F114" s="64" t="n">
        <x:f>'Table dégâts brute'!$B$106</x:f>
        <x:v>0</x:v>
      </x:c>
      <x:c r="G114" s="67" t="n">
        <x:f>'Table dégâts brute'!$C$106</x:f>
        <x:v>250</x:v>
      </x:c>
      <x:c r="H114" s="67" t="n">
        <x:f>'Table dégâts brute'!$D$106</x:f>
        <x:v>250</x:v>
      </x:c>
      <x:c r="I114" s="64" t="n">
        <x:f>'Table dégâts brute'!$E$106</x:f>
        <x:v>1</x:v>
      </x:c>
      <x:c r="J114" s="64" t="n">
        <x:f>'Table dégâts brute'!$F$106</x:f>
        <x:v>2</x:v>
      </x:c>
      <x:c r="K114" s="61" t="str">
        <x:v>0x092AA99C; niveau + 0x5D</x:v>
      </x:c>
      <x:c r="L114" s="61" t="str">
        <x:v>Courbe V1–V8 confirmée</x:v>
      </x:c>
      <x:c r="M114" s="61" t="str">
        <x:v>Élevée</x:v>
      </x:c>
      <x:c r="N114" s="61" t="str"/>
    </x:row>
    <x:row r="115">
      <x:c r="A115" s="55" t="str">
        <x:v>Roquette Éclair</x:v>
      </x:c>
      <x:c r="B115" s="55" t="str">
        <x:v>Branche additionnelle</x:v>
      </x:c>
      <x:c r="C115" s="55" t="n">
        <x:v>1</x:v>
      </x:c>
      <x:c r="D115" s="64" t="n">
        <x:v>101</x:v>
      </x:c>
      <x:c r="E115" s="55" t="str">
        <x:v>0940541Ch</x:v>
      </x:c>
      <x:c r="F115" s="64" t="n">
        <x:f>'Table dégâts brute'!$B$107</x:f>
        <x:v>0</x:v>
      </x:c>
      <x:c r="G115" s="67" t="n">
        <x:f>'Table dégâts brute'!$C$107</x:f>
        <x:v>3.5999999046325684</x:v>
      </x:c>
      <x:c r="H115" s="67" t="n">
        <x:f>'Table dégâts brute'!$D$107</x:f>
        <x:v>3.5999999046325684</x:v>
      </x:c>
      <x:c r="I115" s="64" t="n">
        <x:f>'Table dégâts brute'!$E$107</x:f>
        <x:v>0</x:v>
      </x:c>
      <x:c r="J115" s="64" t="n">
        <x:f>'Table dégâts brute'!$F$107</x:f>
        <x:v>0</x:v>
      </x:c>
      <x:c r="K115" s="61" t="str">
        <x:v>0x092AB45C; niveau + 0x65</x:v>
      </x:c>
      <x:c r="L115" s="61" t="str">
        <x:v>Indexation confirmée; rôle exact à tester</x:v>
      </x:c>
      <x:c r="M115" s="61" t="str">
        <x:v>Moyenne</x:v>
      </x:c>
      <x:c r="N115" s="61" t="str"/>
    </x:row>
    <x:row r="116">
      <x:c r="A116" s="55" t="str">
        <x:v>Roquette Éclair</x:v>
      </x:c>
      <x:c r="B116" s="55" t="str">
        <x:v>Branche additionnelle</x:v>
      </x:c>
      <x:c r="C116" s="55" t="n">
        <x:v>2</x:v>
      </x:c>
      <x:c r="D116" s="64" t="n">
        <x:v>102</x:v>
      </x:c>
      <x:c r="E116" s="55" t="str">
        <x:v>0940542Ch</x:v>
      </x:c>
      <x:c r="F116" s="64" t="n">
        <x:f>'Table dégâts brute'!$B$108</x:f>
        <x:v>0</x:v>
      </x:c>
      <x:c r="G116" s="67" t="n">
        <x:f>'Table dégâts brute'!$C$108</x:f>
        <x:v>4.800000190734863</x:v>
      </x:c>
      <x:c r="H116" s="67" t="n">
        <x:f>'Table dégâts brute'!$D$108</x:f>
        <x:v>4.800000190734863</x:v>
      </x:c>
      <x:c r="I116" s="64" t="n">
        <x:f>'Table dégâts brute'!$E$108</x:f>
        <x:v>0</x:v>
      </x:c>
      <x:c r="J116" s="64" t="n">
        <x:f>'Table dégâts brute'!$F$108</x:f>
        <x:v>0</x:v>
      </x:c>
      <x:c r="K116" s="61" t="str">
        <x:v>0x092AB45C; niveau + 0x65</x:v>
      </x:c>
      <x:c r="L116" s="61" t="str">
        <x:v>Indexation confirmée; rôle exact à tester</x:v>
      </x:c>
      <x:c r="M116" s="61" t="str">
        <x:v>Moyenne</x:v>
      </x:c>
      <x:c r="N116" s="61" t="str"/>
    </x:row>
    <x:row r="117">
      <x:c r="A117" s="55" t="str">
        <x:v>Roquette Éclair</x:v>
      </x:c>
      <x:c r="B117" s="55" t="str">
        <x:v>Branche additionnelle</x:v>
      </x:c>
      <x:c r="C117" s="55" t="n">
        <x:v>3</x:v>
      </x:c>
      <x:c r="D117" s="64" t="n">
        <x:v>103</x:v>
      </x:c>
      <x:c r="E117" s="55" t="str">
        <x:v>0940543Ch</x:v>
      </x:c>
      <x:c r="F117" s="64" t="n">
        <x:f>'Table dégâts brute'!$B$109</x:f>
        <x:v>0</x:v>
      </x:c>
      <x:c r="G117" s="67" t="n">
        <x:f>'Table dégâts brute'!$C$109</x:f>
        <x:v>6</x:v>
      </x:c>
      <x:c r="H117" s="67" t="n">
        <x:f>'Table dégâts brute'!$D$109</x:f>
        <x:v>6</x:v>
      </x:c>
      <x:c r="I117" s="64" t="n">
        <x:f>'Table dégâts brute'!$E$109</x:f>
        <x:v>0</x:v>
      </x:c>
      <x:c r="J117" s="64" t="n">
        <x:f>'Table dégâts brute'!$F$109</x:f>
        <x:v>0</x:v>
      </x:c>
      <x:c r="K117" s="61" t="str">
        <x:v>0x092AB45C; niveau + 0x65</x:v>
      </x:c>
      <x:c r="L117" s="61" t="str">
        <x:v>Indexation confirmée; rôle exact à tester</x:v>
      </x:c>
      <x:c r="M117" s="61" t="str">
        <x:v>Moyenne</x:v>
      </x:c>
      <x:c r="N117" s="61" t="str"/>
    </x:row>
    <x:row r="118">
      <x:c r="A118" s="55" t="str">
        <x:v>Roquette Éclair</x:v>
      </x:c>
      <x:c r="B118" s="55" t="str">
        <x:v>Branche additionnelle</x:v>
      </x:c>
      <x:c r="C118" s="55" t="n">
        <x:v>4</x:v>
      </x:c>
      <x:c r="D118" s="64" t="n">
        <x:v>104</x:v>
      </x:c>
      <x:c r="E118" s="55" t="str">
        <x:v>0940544Ch</x:v>
      </x:c>
      <x:c r="F118" s="64" t="n">
        <x:f>'Table dégâts brute'!$B$110</x:f>
        <x:v>0</x:v>
      </x:c>
      <x:c r="G118" s="67" t="n">
        <x:f>'Table dégâts brute'!$C$110</x:f>
        <x:v>7.5</x:v>
      </x:c>
      <x:c r="H118" s="67" t="n">
        <x:f>'Table dégâts brute'!$D$110</x:f>
        <x:v>7.5</x:v>
      </x:c>
      <x:c r="I118" s="64" t="n">
        <x:f>'Table dégâts brute'!$E$110</x:f>
        <x:v>0</x:v>
      </x:c>
      <x:c r="J118" s="64" t="n">
        <x:f>'Table dégâts brute'!$F$110</x:f>
        <x:v>0</x:v>
      </x:c>
      <x:c r="K118" s="61" t="str">
        <x:v>0x092AB45C; niveau + 0x65</x:v>
      </x:c>
      <x:c r="L118" s="61" t="str">
        <x:v>Indexation confirmée; rôle exact à tester</x:v>
      </x:c>
      <x:c r="M118" s="61" t="str">
        <x:v>Moyenne</x:v>
      </x:c>
      <x:c r="N118" s="61" t="str"/>
    </x:row>
    <x:row r="119">
      <x:c r="A119" s="55" t="str">
        <x:v>Roquette Éclair</x:v>
      </x:c>
      <x:c r="B119" s="55" t="str">
        <x:v>Branche additionnelle</x:v>
      </x:c>
      <x:c r="C119" s="55" t="n">
        <x:v>5</x:v>
      </x:c>
      <x:c r="D119" s="64" t="n">
        <x:v>105</x:v>
      </x:c>
      <x:c r="E119" s="55" t="str">
        <x:v>0940545Ch</x:v>
      </x:c>
      <x:c r="F119" s="64" t="n">
        <x:f>'Table dégâts brute'!$B$111</x:f>
        <x:v>0</x:v>
      </x:c>
      <x:c r="G119" s="67" t="n">
        <x:f>'Table dégâts brute'!$C$111</x:f>
        <x:v>10.5</x:v>
      </x:c>
      <x:c r="H119" s="67" t="n">
        <x:f>'Table dégâts brute'!$D$111</x:f>
        <x:v>10.5</x:v>
      </x:c>
      <x:c r="I119" s="64" t="n">
        <x:f>'Table dégâts brute'!$E$111</x:f>
        <x:v>0</x:v>
      </x:c>
      <x:c r="J119" s="64" t="n">
        <x:f>'Table dégâts brute'!$F$111</x:f>
        <x:v>0</x:v>
      </x:c>
      <x:c r="K119" s="61" t="str">
        <x:v>0x092AB45C; niveau + 0x65</x:v>
      </x:c>
      <x:c r="L119" s="61" t="str">
        <x:v>Indexation confirmée; rôle exact à tester</x:v>
      </x:c>
      <x:c r="M119" s="61" t="str">
        <x:v>Moyenne</x:v>
      </x:c>
      <x:c r="N119" s="61" t="str"/>
    </x:row>
    <x:row r="120">
      <x:c r="A120" s="55" t="str">
        <x:v>Roquette Éclair</x:v>
      </x:c>
      <x:c r="B120" s="55" t="str">
        <x:v>Branche additionnelle</x:v>
      </x:c>
      <x:c r="C120" s="55" t="n">
        <x:v>6</x:v>
      </x:c>
      <x:c r="D120" s="64" t="n">
        <x:v>106</x:v>
      </x:c>
      <x:c r="E120" s="55" t="str">
        <x:v>0940546Ch</x:v>
      </x:c>
      <x:c r="F120" s="64" t="n">
        <x:f>'Table dégâts brute'!$B$112</x:f>
        <x:v>0</x:v>
      </x:c>
      <x:c r="G120" s="67" t="n">
        <x:f>'Table dégâts brute'!$C$112</x:f>
        <x:v>15</x:v>
      </x:c>
      <x:c r="H120" s="67" t="n">
        <x:f>'Table dégâts brute'!$D$112</x:f>
        <x:v>15</x:v>
      </x:c>
      <x:c r="I120" s="64" t="n">
        <x:f>'Table dégâts brute'!$E$112</x:f>
        <x:v>0</x:v>
      </x:c>
      <x:c r="J120" s="64" t="n">
        <x:f>'Table dégâts brute'!$F$112</x:f>
        <x:v>0</x:v>
      </x:c>
      <x:c r="K120" s="61" t="str">
        <x:v>0x092AB45C; niveau + 0x65</x:v>
      </x:c>
      <x:c r="L120" s="61" t="str">
        <x:v>Indexation confirmée; rôle exact à tester</x:v>
      </x:c>
      <x:c r="M120" s="61" t="str">
        <x:v>Moyenne</x:v>
      </x:c>
      <x:c r="N120" s="61" t="str"/>
    </x:row>
    <x:row r="121">
      <x:c r="A121" s="55" t="str">
        <x:v>Roquette Éclair</x:v>
      </x:c>
      <x:c r="B121" s="55" t="str">
        <x:v>Branche additionnelle</x:v>
      </x:c>
      <x:c r="C121" s="55" t="n">
        <x:v>7</x:v>
      </x:c>
      <x:c r="D121" s="64" t="n">
        <x:v>107</x:v>
      </x:c>
      <x:c r="E121" s="55" t="str">
        <x:v>0940547Ch</x:v>
      </x:c>
      <x:c r="F121" s="64" t="n">
        <x:f>'Table dégâts brute'!$B$113</x:f>
        <x:v>0</x:v>
      </x:c>
      <x:c r="G121" s="67" t="n">
        <x:f>'Table dégâts brute'!$C$113</x:f>
        <x:v>22</x:v>
      </x:c>
      <x:c r="H121" s="67" t="n">
        <x:f>'Table dégâts brute'!$D$113</x:f>
        <x:v>22</x:v>
      </x:c>
      <x:c r="I121" s="64" t="n">
        <x:f>'Table dégâts brute'!$E$113</x:f>
        <x:v>0</x:v>
      </x:c>
      <x:c r="J121" s="64" t="n">
        <x:f>'Table dégâts brute'!$F$113</x:f>
        <x:v>0</x:v>
      </x:c>
      <x:c r="K121" s="61" t="str">
        <x:v>0x092AB45C; niveau + 0x65</x:v>
      </x:c>
      <x:c r="L121" s="61" t="str">
        <x:v>Indexation confirmée; rôle exact à tester</x:v>
      </x:c>
      <x:c r="M121" s="61" t="str">
        <x:v>Moyenne</x:v>
      </x:c>
      <x:c r="N121" s="61" t="str"/>
    </x:row>
    <x:row r="122">
      <x:c r="A122" s="55" t="str">
        <x:v>Roquette Éclair</x:v>
      </x:c>
      <x:c r="B122" s="55" t="str">
        <x:v>Branche additionnelle</x:v>
      </x:c>
      <x:c r="C122" s="55" t="n">
        <x:v>8</x:v>
      </x:c>
      <x:c r="D122" s="64" t="n">
        <x:v>108</x:v>
      </x:c>
      <x:c r="E122" s="55" t="str">
        <x:v>0940548Ch</x:v>
      </x:c>
      <x:c r="F122" s="64" t="n">
        <x:f>'Table dégâts brute'!$B$114</x:f>
        <x:v>0</x:v>
      </x:c>
      <x:c r="G122" s="67" t="n">
        <x:f>'Table dégâts brute'!$C$114</x:f>
        <x:v>33</x:v>
      </x:c>
      <x:c r="H122" s="67" t="n">
        <x:f>'Table dégâts brute'!$D$114</x:f>
        <x:v>33</x:v>
      </x:c>
      <x:c r="I122" s="64" t="n">
        <x:f>'Table dégâts brute'!$E$114</x:f>
        <x:v>0</x:v>
      </x:c>
      <x:c r="J122" s="64" t="n">
        <x:f>'Table dégâts brute'!$F$114</x:f>
        <x:v>0</x:v>
      </x:c>
      <x:c r="K122" s="61" t="str">
        <x:v>0x092AB45C; niveau + 0x65</x:v>
      </x:c>
      <x:c r="L122" s="61" t="str">
        <x:v>Indexation confirmée; rôle exact à tester</x:v>
      </x:c>
      <x:c r="M122" s="61" t="str">
        <x:v>Moyenne</x:v>
      </x:c>
      <x:c r="N122" s="61" t="str"/>
    </x:row>
    <x:row r="123">
      <x:c r="A123" s="55" t="str">
        <x:v>Pisteur Laser</x:v>
      </x:c>
      <x:c r="B123" s="55" t="str">
        <x:v>Rayon principal</x:v>
      </x:c>
      <x:c r="C123" s="55" t="n">
        <x:v>1</x:v>
      </x:c>
      <x:c r="D123" s="64" t="n">
        <x:v>125</x:v>
      </x:c>
      <x:c r="E123" s="55" t="str">
        <x:v>0940559Ch</x:v>
      </x:c>
      <x:c r="F123" s="64" t="n">
        <x:f>'Table dégâts brute'!$B$131</x:f>
        <x:v>1</x:v>
      </x:c>
      <x:c r="G123" s="67" t="n">
        <x:f>'Table dégâts brute'!$C$131</x:f>
        <x:v>6.250000476837158</x:v>
      </x:c>
      <x:c r="H123" s="67" t="n">
        <x:f>'Table dégâts brute'!$D$131</x:f>
        <x:v>6.250000476837158</x:v>
      </x:c>
      <x:c r="I123" s="64" t="n">
        <x:f>'Table dégâts brute'!$E$131</x:f>
        <x:v>11</x:v>
      </x:c>
      <x:c r="J123" s="64" t="n">
        <x:f>'Table dégâts brute'!$F$131</x:f>
        <x:v>3</x:v>
      </x:c>
      <x:c r="K123" s="61" t="str">
        <x:v>0x09283C00; niveau + 0x7D</x:v>
      </x:c>
      <x:c r="L123" s="61" t="str">
        <x:v>Courbe V1–V8 confirmée</x:v>
      </x:c>
      <x:c r="M123" s="61" t="str">
        <x:v>Élevée</x:v>
      </x:c>
      <x:c r="N123" s="61" t="str"/>
    </x:row>
    <x:row r="124">
      <x:c r="A124" s="55" t="str">
        <x:v>Pisteur Laser</x:v>
      </x:c>
      <x:c r="B124" s="55" t="str">
        <x:v>Rayon principal</x:v>
      </x:c>
      <x:c r="C124" s="55" t="n">
        <x:v>2</x:v>
      </x:c>
      <x:c r="D124" s="64" t="n">
        <x:v>126</x:v>
      </x:c>
      <x:c r="E124" s="55" t="str">
        <x:v>094055ACh</x:v>
      </x:c>
      <x:c r="F124" s="64" t="n">
        <x:f>'Table dégâts brute'!$B$132</x:f>
        <x:v>1</x:v>
      </x:c>
      <x:c r="G124" s="67" t="n">
        <x:f>'Table dégâts brute'!$C$132</x:f>
        <x:v>8.958333969116211</x:v>
      </x:c>
      <x:c r="H124" s="67" t="n">
        <x:f>'Table dégâts brute'!$D$132</x:f>
        <x:v>8.958333969116211</x:v>
      </x:c>
      <x:c r="I124" s="64" t="n">
        <x:f>'Table dégâts brute'!$E$132</x:f>
        <x:v>11</x:v>
      </x:c>
      <x:c r="J124" s="64" t="n">
        <x:f>'Table dégâts brute'!$F$132</x:f>
        <x:v>3</x:v>
      </x:c>
      <x:c r="K124" s="61" t="str">
        <x:v>0x09283C00; niveau + 0x7D</x:v>
      </x:c>
      <x:c r="L124" s="61" t="str">
        <x:v>Courbe V1–V8 confirmée</x:v>
      </x:c>
      <x:c r="M124" s="61" t="str">
        <x:v>Élevée</x:v>
      </x:c>
      <x:c r="N124" s="61" t="str"/>
    </x:row>
    <x:row r="125">
      <x:c r="A125" s="55" t="str">
        <x:v>Pisteur Laser</x:v>
      </x:c>
      <x:c r="B125" s="55" t="str">
        <x:v>Rayon principal</x:v>
      </x:c>
      <x:c r="C125" s="55" t="n">
        <x:v>3</x:v>
      </x:c>
      <x:c r="D125" s="64" t="n">
        <x:v>127</x:v>
      </x:c>
      <x:c r="E125" s="55" t="str">
        <x:v>094055BCh</x:v>
      </x:c>
      <x:c r="F125" s="64" t="n">
        <x:f>'Table dégâts brute'!$B$133</x:f>
        <x:v>1</x:v>
      </x:c>
      <x:c r="G125" s="67" t="n">
        <x:f>'Table dégâts brute'!$C$133</x:f>
        <x:v>12.708333969116211</x:v>
      </x:c>
      <x:c r="H125" s="67" t="n">
        <x:f>'Table dégâts brute'!$D$133</x:f>
        <x:v>12.708333969116211</x:v>
      </x:c>
      <x:c r="I125" s="64" t="n">
        <x:f>'Table dégâts brute'!$E$133</x:f>
        <x:v>11</x:v>
      </x:c>
      <x:c r="J125" s="64" t="n">
        <x:f>'Table dégâts brute'!$F$133</x:f>
        <x:v>3</x:v>
      </x:c>
      <x:c r="K125" s="61" t="str">
        <x:v>0x09283C00; niveau + 0x7D</x:v>
      </x:c>
      <x:c r="L125" s="61" t="str">
        <x:v>Courbe V1–V8 confirmée</x:v>
      </x:c>
      <x:c r="M125" s="61" t="str">
        <x:v>Élevée</x:v>
      </x:c>
      <x:c r="N125" s="61" t="str"/>
    </x:row>
    <x:row r="126">
      <x:c r="A126" s="55" t="str">
        <x:v>Pisteur Laser</x:v>
      </x:c>
      <x:c r="B126" s="55" t="str">
        <x:v>Rayon principal</x:v>
      </x:c>
      <x:c r="C126" s="55" t="n">
        <x:v>4</x:v>
      </x:c>
      <x:c r="D126" s="64" t="n">
        <x:v>128</x:v>
      </x:c>
      <x:c r="E126" s="55" t="str">
        <x:v>094055CCh</x:v>
      </x:c>
      <x:c r="F126" s="64" t="n">
        <x:f>'Table dégâts brute'!$B$134</x:f>
        <x:v>1</x:v>
      </x:c>
      <x:c r="G126" s="67" t="n">
        <x:f>'Table dégâts brute'!$C$134</x:f>
        <x:v>16.666667938232422</x:v>
      </x:c>
      <x:c r="H126" s="67" t="n">
        <x:f>'Table dégâts brute'!$D$134</x:f>
        <x:v>16.666667938232422</x:v>
      </x:c>
      <x:c r="I126" s="64" t="n">
        <x:f>'Table dégâts brute'!$E$134</x:f>
        <x:v>11</x:v>
      </x:c>
      <x:c r="J126" s="64" t="n">
        <x:f>'Table dégâts brute'!$F$134</x:f>
        <x:v>3</x:v>
      </x:c>
      <x:c r="K126" s="61" t="str">
        <x:v>0x09283C00; niveau + 0x7D</x:v>
      </x:c>
      <x:c r="L126" s="61" t="str">
        <x:v>Courbe V1–V8 confirmée</x:v>
      </x:c>
      <x:c r="M126" s="61" t="str">
        <x:v>Élevée</x:v>
      </x:c>
      <x:c r="N126" s="61" t="str"/>
    </x:row>
    <x:row r="127">
      <x:c r="A127" s="55" t="str">
        <x:v>Pisteur Laser</x:v>
      </x:c>
      <x:c r="B127" s="55" t="str">
        <x:v>Rayon principal</x:v>
      </x:c>
      <x:c r="C127" s="55" t="n">
        <x:v>5</x:v>
      </x:c>
      <x:c r="D127" s="64" t="n">
        <x:v>129</x:v>
      </x:c>
      <x:c r="E127" s="55" t="str">
        <x:v>094055DCh</x:v>
      </x:c>
      <x:c r="F127" s="64" t="n">
        <x:f>'Table dégâts brute'!$B$135</x:f>
        <x:v>1</x:v>
      </x:c>
      <x:c r="G127" s="67" t="n">
        <x:f>'Table dégâts brute'!$C$135</x:f>
        <x:v>21.666667938232422</x:v>
      </x:c>
      <x:c r="H127" s="67" t="n">
        <x:f>'Table dégâts brute'!$D$135</x:f>
        <x:v>21.666667938232422</x:v>
      </x:c>
      <x:c r="I127" s="64" t="n">
        <x:f>'Table dégâts brute'!$E$135</x:f>
        <x:v>11</x:v>
      </x:c>
      <x:c r="J127" s="64" t="n">
        <x:f>'Table dégâts brute'!$F$135</x:f>
        <x:v>3</x:v>
      </x:c>
      <x:c r="K127" s="61" t="str">
        <x:v>0x09283C00; niveau + 0x7D</x:v>
      </x:c>
      <x:c r="L127" s="61" t="str">
        <x:v>Courbe V1–V8 confirmée</x:v>
      </x:c>
      <x:c r="M127" s="61" t="str">
        <x:v>Élevée</x:v>
      </x:c>
      <x:c r="N127" s="61" t="str"/>
    </x:row>
    <x:row r="128">
      <x:c r="A128" s="55" t="str">
        <x:v>Pisteur Laser</x:v>
      </x:c>
      <x:c r="B128" s="55" t="str">
        <x:v>Rayon principal</x:v>
      </x:c>
      <x:c r="C128" s="55" t="n">
        <x:v>6</x:v>
      </x:c>
      <x:c r="D128" s="64" t="n">
        <x:v>130</x:v>
      </x:c>
      <x:c r="E128" s="55" t="str">
        <x:v>094055ECh</x:v>
      </x:c>
      <x:c r="F128" s="64" t="n">
        <x:f>'Table dégâts brute'!$B$136</x:f>
        <x:v>1</x:v>
      </x:c>
      <x:c r="G128" s="67" t="n">
        <x:f>'Table dégâts brute'!$C$136</x:f>
        <x:v>28.541667938232422</x:v>
      </x:c>
      <x:c r="H128" s="67" t="n">
        <x:f>'Table dégâts brute'!$D$136</x:f>
        <x:v>28.541667938232422</x:v>
      </x:c>
      <x:c r="I128" s="64" t="n">
        <x:f>'Table dégâts brute'!$E$136</x:f>
        <x:v>11</x:v>
      </x:c>
      <x:c r="J128" s="64" t="n">
        <x:f>'Table dégâts brute'!$F$136</x:f>
        <x:v>3</x:v>
      </x:c>
      <x:c r="K128" s="61" t="str">
        <x:v>0x09283C00; niveau + 0x7D</x:v>
      </x:c>
      <x:c r="L128" s="61" t="str">
        <x:v>Courbe V1–V8 confirmée</x:v>
      </x:c>
      <x:c r="M128" s="61" t="str">
        <x:v>Élevée</x:v>
      </x:c>
      <x:c r="N128" s="61" t="str"/>
    </x:row>
    <x:row r="129">
      <x:c r="A129" s="55" t="str">
        <x:v>Pisteur Laser</x:v>
      </x:c>
      <x:c r="B129" s="55" t="str">
        <x:v>Rayon principal</x:v>
      </x:c>
      <x:c r="C129" s="55" t="n">
        <x:v>7</x:v>
      </x:c>
      <x:c r="D129" s="64" t="n">
        <x:v>131</x:v>
      </x:c>
      <x:c r="E129" s="55" t="str">
        <x:v>094055FCh</x:v>
      </x:c>
      <x:c r="F129" s="64" t="n">
        <x:f>'Table dégâts brute'!$B$137</x:f>
        <x:v>1</x:v>
      </x:c>
      <x:c r="G129" s="67" t="n">
        <x:f>'Table dégâts brute'!$C$137</x:f>
        <x:v>37.083335876464844</x:v>
      </x:c>
      <x:c r="H129" s="67" t="n">
        <x:f>'Table dégâts brute'!$D$137</x:f>
        <x:v>37.083335876464844</x:v>
      </x:c>
      <x:c r="I129" s="64" t="n">
        <x:f>'Table dégâts brute'!$E$137</x:f>
        <x:v>11</x:v>
      </x:c>
      <x:c r="J129" s="64" t="n">
        <x:f>'Table dégâts brute'!$F$137</x:f>
        <x:v>3</x:v>
      </x:c>
      <x:c r="K129" s="61" t="str">
        <x:v>0x09283C00; niveau + 0x7D</x:v>
      </x:c>
      <x:c r="L129" s="61" t="str">
        <x:v>Courbe V1–V8 confirmée</x:v>
      </x:c>
      <x:c r="M129" s="61" t="str">
        <x:v>Élevée</x:v>
      </x:c>
      <x:c r="N129" s="61" t="str"/>
    </x:row>
    <x:row r="130">
      <x:c r="A130" s="55" t="str">
        <x:v>Pisteur Laser</x:v>
      </x:c>
      <x:c r="B130" s="55" t="str">
        <x:v>Rayon principal</x:v>
      </x:c>
      <x:c r="C130" s="55" t="n">
        <x:v>8</x:v>
      </x:c>
      <x:c r="D130" s="64" t="n">
        <x:v>132</x:v>
      </x:c>
      <x:c r="E130" s="55" t="str">
        <x:v>0940560Ch</x:v>
      </x:c>
      <x:c r="F130" s="64" t="n">
        <x:f>'Table dégâts brute'!$B$138</x:f>
        <x:v>1</x:v>
      </x:c>
      <x:c r="G130" s="67" t="n">
        <x:f>'Table dégâts brute'!$C$138</x:f>
        <x:v>45.833335876464844</x:v>
      </x:c>
      <x:c r="H130" s="67" t="n">
        <x:f>'Table dégâts brute'!$D$138</x:f>
        <x:v>45.833335876464844</x:v>
      </x:c>
      <x:c r="I130" s="64" t="n">
        <x:f>'Table dégâts brute'!$E$138</x:f>
        <x:v>11</x:v>
      </x:c>
      <x:c r="J130" s="64" t="n">
        <x:f>'Table dégâts brute'!$F$138</x:f>
        <x:v>3</x:v>
      </x:c>
      <x:c r="K130" s="61" t="str">
        <x:v>0x09283C00; niveau + 0x7D</x:v>
      </x:c>
      <x:c r="L130" s="61" t="str">
        <x:v>Courbe V1–V8 confirmée</x:v>
      </x:c>
      <x:c r="M130" s="61" t="str">
        <x:v>Élevée</x:v>
      </x:c>
      <x:c r="N130" s="61" t="str"/>
    </x:row>
    <x:row r="131">
      <x:c r="A131" s="55" t="str">
        <x:v>Pisteur Laser</x:v>
      </x:c>
      <x:c r="B131" s="55" t="str">
        <x:v>Rayon alternatif</x:v>
      </x:c>
      <x:c r="C131" s="55" t="n">
        <x:v>1</x:v>
      </x:c>
      <x:c r="D131" s="64" t="n">
        <x:v>133</x:v>
      </x:c>
      <x:c r="E131" s="55" t="str">
        <x:v>0940561Ch</x:v>
      </x:c>
      <x:c r="F131" s="64" t="n">
        <x:f>'Table dégâts brute'!$B$139</x:f>
        <x:v>1</x:v>
      </x:c>
      <x:c r="G131" s="67" t="n">
        <x:f>'Table dégâts brute'!$C$139</x:f>
        <x:v>1.6666667461395264</x:v>
      </x:c>
      <x:c r="H131" s="67" t="n">
        <x:f>'Table dégâts brute'!$D$139</x:f>
        <x:v>1.6666667461395264</x:v>
      </x:c>
      <x:c r="I131" s="64" t="n">
        <x:f>'Table dégâts brute'!$E$139</x:f>
        <x:v>1</x:v>
      </x:c>
      <x:c r="J131" s="64" t="n">
        <x:f>'Table dégâts brute'!$F$139</x:f>
        <x:v>1</x:v>
      </x:c>
      <x:c r="K131" s="61" t="str">
        <x:v>0x09284678 / 0x09284A84; niveau + 0x85</x:v>
      </x:c>
      <x:c r="L131" s="61" t="str">
        <x:v>Courbe V1–V8 confirmée</x:v>
      </x:c>
      <x:c r="M131" s="61" t="str">
        <x:v>Élevée</x:v>
      </x:c>
      <x:c r="N131" s="61" t="str"/>
    </x:row>
    <x:row r="132">
      <x:c r="A132" s="55" t="str">
        <x:v>Pisteur Laser</x:v>
      </x:c>
      <x:c r="B132" s="55" t="str">
        <x:v>Rayon alternatif</x:v>
      </x:c>
      <x:c r="C132" s="55" t="n">
        <x:v>2</x:v>
      </x:c>
      <x:c r="D132" s="64" t="n">
        <x:v>134</x:v>
      </x:c>
      <x:c r="E132" s="55" t="str">
        <x:v>0940562Ch</x:v>
      </x:c>
      <x:c r="F132" s="64" t="n">
        <x:f>'Table dégâts brute'!$B$140</x:f>
        <x:v>1</x:v>
      </x:c>
      <x:c r="G132" s="67" t="n">
        <x:f>'Table dégâts brute'!$C$140</x:f>
        <x:v>2.390000104904175</x:v>
      </x:c>
      <x:c r="H132" s="67" t="n">
        <x:f>'Table dégâts brute'!$D$140</x:f>
        <x:v>2.390000104904175</x:v>
      </x:c>
      <x:c r="I132" s="64" t="n">
        <x:f>'Table dégâts brute'!$E$140</x:f>
        <x:v>1</x:v>
      </x:c>
      <x:c r="J132" s="64" t="n">
        <x:f>'Table dégâts brute'!$F$140</x:f>
        <x:v>1</x:v>
      </x:c>
      <x:c r="K132" s="61" t="str">
        <x:v>0x09284678 / 0x09284A84; niveau + 0x85</x:v>
      </x:c>
      <x:c r="L132" s="61" t="str">
        <x:v>Courbe V1–V8 confirmée</x:v>
      </x:c>
      <x:c r="M132" s="61" t="str">
        <x:v>Élevée</x:v>
      </x:c>
      <x:c r="N132" s="61" t="str"/>
    </x:row>
    <x:row r="133">
      <x:c r="A133" s="55" t="str">
        <x:v>Pisteur Laser</x:v>
      </x:c>
      <x:c r="B133" s="55" t="str">
        <x:v>Rayon alternatif</x:v>
      </x:c>
      <x:c r="C133" s="55" t="n">
        <x:v>3</x:v>
      </x:c>
      <x:c r="D133" s="64" t="n">
        <x:v>135</x:v>
      </x:c>
      <x:c r="E133" s="55" t="str">
        <x:v>0940563Ch</x:v>
      </x:c>
      <x:c r="F133" s="64" t="n">
        <x:f>'Table dégâts brute'!$B$141</x:f>
        <x:v>1</x:v>
      </x:c>
      <x:c r="G133" s="67" t="n">
        <x:f>'Table dégâts brute'!$C$141</x:f>
        <x:v>3.390000104904175</x:v>
      </x:c>
      <x:c r="H133" s="67" t="n">
        <x:f>'Table dégâts brute'!$D$141</x:f>
        <x:v>3.390000104904175</x:v>
      </x:c>
      <x:c r="I133" s="64" t="n">
        <x:f>'Table dégâts brute'!$E$141</x:f>
        <x:v>1</x:v>
      </x:c>
      <x:c r="J133" s="64" t="n">
        <x:f>'Table dégâts brute'!$F$141</x:f>
        <x:v>1</x:v>
      </x:c>
      <x:c r="K133" s="61" t="str">
        <x:v>0x09284678 / 0x09284A84; niveau + 0x85</x:v>
      </x:c>
      <x:c r="L133" s="61" t="str">
        <x:v>Courbe V1–V8 confirmée</x:v>
      </x:c>
      <x:c r="M133" s="61" t="str">
        <x:v>Élevée</x:v>
      </x:c>
      <x:c r="N133" s="61" t="str"/>
    </x:row>
    <x:row r="134">
      <x:c r="A134" s="55" t="str">
        <x:v>Pisteur Laser</x:v>
      </x:c>
      <x:c r="B134" s="55" t="str">
        <x:v>Rayon alternatif</x:v>
      </x:c>
      <x:c r="C134" s="55" t="n">
        <x:v>4</x:v>
      </x:c>
      <x:c r="D134" s="64" t="n">
        <x:v>136</x:v>
      </x:c>
      <x:c r="E134" s="55" t="str">
        <x:v>0940564Ch</x:v>
      </x:c>
      <x:c r="F134" s="64" t="n">
        <x:f>'Table dégâts brute'!$B$142</x:f>
        <x:v>1</x:v>
      </x:c>
      <x:c r="G134" s="67" t="n">
        <x:f>'Table dégâts brute'!$C$142</x:f>
        <x:v>4.443333625793457</x:v>
      </x:c>
      <x:c r="H134" s="67" t="n">
        <x:f>'Table dégâts brute'!$D$142</x:f>
        <x:v>4.443333625793457</x:v>
      </x:c>
      <x:c r="I134" s="64" t="n">
        <x:f>'Table dégâts brute'!$E$142</x:f>
        <x:v>1</x:v>
      </x:c>
      <x:c r="J134" s="64" t="n">
        <x:f>'Table dégâts brute'!$F$142</x:f>
        <x:v>1</x:v>
      </x:c>
      <x:c r="K134" s="61" t="str">
        <x:v>0x09284678 / 0x09284A84; niveau + 0x85</x:v>
      </x:c>
      <x:c r="L134" s="61" t="str">
        <x:v>Courbe V1–V8 confirmée</x:v>
      </x:c>
      <x:c r="M134" s="61" t="str">
        <x:v>Élevée</x:v>
      </x:c>
      <x:c r="N134" s="61" t="str"/>
    </x:row>
    <x:row r="135">
      <x:c r="A135" s="55" t="str">
        <x:v>Pisteur Laser</x:v>
      </x:c>
      <x:c r="B135" s="55" t="str">
        <x:v>Rayon alternatif</x:v>
      </x:c>
      <x:c r="C135" s="55" t="n">
        <x:v>5</x:v>
      </x:c>
      <x:c r="D135" s="64" t="n">
        <x:v>137</x:v>
      </x:c>
      <x:c r="E135" s="55" t="str">
        <x:v>0940565Ch</x:v>
      </x:c>
      <x:c r="F135" s="64" t="n">
        <x:f>'Table dégâts brute'!$B$143</x:f>
        <x:v>1</x:v>
      </x:c>
      <x:c r="G135" s="67" t="n">
        <x:f>'Table dégâts brute'!$C$143</x:f>
        <x:v>5.77666711807251</x:v>
      </x:c>
      <x:c r="H135" s="67" t="n">
        <x:f>'Table dégâts brute'!$D$143</x:f>
        <x:v>5.77666711807251</x:v>
      </x:c>
      <x:c r="I135" s="64" t="n">
        <x:f>'Table dégâts brute'!$E$143</x:f>
        <x:v>1</x:v>
      </x:c>
      <x:c r="J135" s="64" t="n">
        <x:f>'Table dégâts brute'!$F$143</x:f>
        <x:v>1</x:v>
      </x:c>
      <x:c r="K135" s="61" t="str">
        <x:v>0x09284678 / 0x09284A84; niveau + 0x85</x:v>
      </x:c>
      <x:c r="L135" s="61" t="str">
        <x:v>Courbe V1–V8 confirmée</x:v>
      </x:c>
      <x:c r="M135" s="61" t="str">
        <x:v>Élevée</x:v>
      </x:c>
      <x:c r="N135" s="61" t="str"/>
    </x:row>
    <x:row r="136">
      <x:c r="A136" s="55" t="str">
        <x:v>Pisteur Laser</x:v>
      </x:c>
      <x:c r="B136" s="55" t="str">
        <x:v>Rayon alternatif</x:v>
      </x:c>
      <x:c r="C136" s="55" t="n">
        <x:v>6</x:v>
      </x:c>
      <x:c r="D136" s="64" t="n">
        <x:v>138</x:v>
      </x:c>
      <x:c r="E136" s="55" t="str">
        <x:v>0940566Ch</x:v>
      </x:c>
      <x:c r="F136" s="64" t="n">
        <x:f>'Table dégâts brute'!$B$144</x:f>
        <x:v>1</x:v>
      </x:c>
      <x:c r="G136" s="67" t="n">
        <x:f>'Table dégâts brute'!$C$144</x:f>
        <x:v>7.6100006103515625</x:v>
      </x:c>
      <x:c r="H136" s="67" t="n">
        <x:f>'Table dégâts brute'!$D$144</x:f>
        <x:v>7.6100006103515625</x:v>
      </x:c>
      <x:c r="I136" s="64" t="n">
        <x:f>'Table dégâts brute'!$E$144</x:f>
        <x:v>1</x:v>
      </x:c>
      <x:c r="J136" s="64" t="n">
        <x:f>'Table dégâts brute'!$F$144</x:f>
        <x:v>1</x:v>
      </x:c>
      <x:c r="K136" s="61" t="str">
        <x:v>0x09284678 / 0x09284A84; niveau + 0x85</x:v>
      </x:c>
      <x:c r="L136" s="61" t="str">
        <x:v>Courbe V1–V8 confirmée</x:v>
      </x:c>
      <x:c r="M136" s="61" t="str">
        <x:v>Élevée</x:v>
      </x:c>
      <x:c r="N136" s="61" t="str"/>
    </x:row>
    <x:row r="137">
      <x:c r="A137" s="55" t="str">
        <x:v>Pisteur Laser</x:v>
      </x:c>
      <x:c r="B137" s="55" t="str">
        <x:v>Rayon alternatif</x:v>
      </x:c>
      <x:c r="C137" s="55" t="n">
        <x:v>7</x:v>
      </x:c>
      <x:c r="D137" s="64" t="n">
        <x:v>139</x:v>
      </x:c>
      <x:c r="E137" s="55" t="str">
        <x:v>0940567Ch</x:v>
      </x:c>
      <x:c r="F137" s="64" t="n">
        <x:f>'Table dégâts brute'!$B$145</x:f>
        <x:v>1</x:v>
      </x:c>
      <x:c r="G137" s="67" t="n">
        <x:f>'Table dégâts brute'!$C$145</x:f>
        <x:v>9.89000129699707</x:v>
      </x:c>
      <x:c r="H137" s="67" t="n">
        <x:f>'Table dégâts brute'!$D$145</x:f>
        <x:v>9.89000129699707</x:v>
      </x:c>
      <x:c r="I137" s="64" t="n">
        <x:f>'Table dégâts brute'!$E$145</x:f>
        <x:v>1</x:v>
      </x:c>
      <x:c r="J137" s="64" t="n">
        <x:f>'Table dégâts brute'!$F$145</x:f>
        <x:v>1</x:v>
      </x:c>
      <x:c r="K137" s="61" t="str">
        <x:v>0x09284678 / 0x09284A84; niveau + 0x85</x:v>
      </x:c>
      <x:c r="L137" s="61" t="str">
        <x:v>Courbe V1–V8 confirmée</x:v>
      </x:c>
      <x:c r="M137" s="61" t="str">
        <x:v>Élevée</x:v>
      </x:c>
      <x:c r="N137" s="61" t="str"/>
    </x:row>
    <x:row r="138">
      <x:c r="A138" s="55" t="str">
        <x:v>Pisteur Laser</x:v>
      </x:c>
      <x:c r="B138" s="55" t="str">
        <x:v>Rayon alternatif</x:v>
      </x:c>
      <x:c r="C138" s="55" t="n">
        <x:v>8</x:v>
      </x:c>
      <x:c r="D138" s="64" t="n">
        <x:v>140</x:v>
      </x:c>
      <x:c r="E138" s="55" t="str">
        <x:v>0940568Ch</x:v>
      </x:c>
      <x:c r="F138" s="64" t="n">
        <x:f>'Table dégâts brute'!$B$146</x:f>
        <x:v>1</x:v>
      </x:c>
      <x:c r="G138" s="67" t="n">
        <x:f>'Table dégâts brute'!$C$146</x:f>
        <x:v>12.223334312438965</x:v>
      </x:c>
      <x:c r="H138" s="67" t="n">
        <x:f>'Table dégâts brute'!$D$146</x:f>
        <x:v>12.223334312438965</x:v>
      </x:c>
      <x:c r="I138" s="64" t="n">
        <x:f>'Table dégâts brute'!$E$146</x:f>
        <x:v>1</x:v>
      </x:c>
      <x:c r="J138" s="64" t="n">
        <x:f>'Table dégâts brute'!$F$146</x:f>
        <x:v>1</x:v>
      </x:c>
      <x:c r="K138" s="61" t="str">
        <x:v>0x09284678 / 0x09284A84; niveau + 0x85</x:v>
      </x:c>
      <x:c r="L138" s="61" t="str">
        <x:v>Courbe V1–V8 confirmée</x:v>
      </x:c>
      <x:c r="M138" s="61" t="str">
        <x:v>Élevée</x:v>
      </x:c>
      <x:c r="N138" s="61" t="str"/>
    </x:row>
    <x:row r="139">
      <x:c r="A139" s="55" t="str">
        <x:v>Mine de Sniper</x:v>
      </x:c>
      <x:c r="B139" s="55" t="str">
        <x:v>Impact A</x:v>
      </x:c>
      <x:c r="C139" s="55" t="n">
        <x:v>1</x:v>
      </x:c>
      <x:c r="D139" s="64" t="n">
        <x:v>158</x:v>
      </x:c>
      <x:c r="E139" s="55" t="str">
        <x:v>094057ACh</x:v>
      </x:c>
      <x:c r="F139" s="64" t="n">
        <x:f>'Table dégâts brute'!$B$164</x:f>
        <x:v>0</x:v>
      </x:c>
      <x:c r="G139" s="67" t="n">
        <x:f>'Table dégâts brute'!$C$164</x:f>
        <x:v>21</x:v>
      </x:c>
      <x:c r="H139" s="67" t="n">
        <x:f>'Table dégâts brute'!$D$164</x:f>
        <x:v>21</x:v>
      </x:c>
      <x:c r="I139" s="64" t="n">
        <x:f>'Table dégâts brute'!$E$164</x:f>
        <x:v>1</x:v>
      </x:c>
      <x:c r="J139" s="64" t="n">
        <x:f>'Table dégâts brute'!$F$164</x:f>
        <x:v>3</x:v>
      </x:c>
      <x:c r="K139" s="61" t="str">
        <x:v>Niveau + 0x9E</x:v>
      </x:c>
      <x:c r="L139" s="61" t="str">
        <x:v>Courbe V1–V8 confirmée</x:v>
      </x:c>
      <x:c r="M139" s="61" t="str">
        <x:v>Élevée</x:v>
      </x:c>
      <x:c r="N139" s="61" t="str"/>
    </x:row>
    <x:row r="140">
      <x:c r="A140" s="55" t="str">
        <x:v>Mine de Sniper</x:v>
      </x:c>
      <x:c r="B140" s="55" t="str">
        <x:v>Impact A</x:v>
      </x:c>
      <x:c r="C140" s="55" t="n">
        <x:v>2</x:v>
      </x:c>
      <x:c r="D140" s="64" t="n">
        <x:v>159</x:v>
      </x:c>
      <x:c r="E140" s="55" t="str">
        <x:v>094057BCh</x:v>
      </x:c>
      <x:c r="F140" s="64" t="n">
        <x:f>'Table dégâts brute'!$B$165</x:f>
        <x:v>0</x:v>
      </x:c>
      <x:c r="G140" s="67" t="n">
        <x:f>'Table dégâts brute'!$C$165</x:f>
        <x:v>32</x:v>
      </x:c>
      <x:c r="H140" s="67" t="n">
        <x:f>'Table dégâts brute'!$D$165</x:f>
        <x:v>32</x:v>
      </x:c>
      <x:c r="I140" s="64" t="n">
        <x:f>'Table dégâts brute'!$E$165</x:f>
        <x:v>1</x:v>
      </x:c>
      <x:c r="J140" s="64" t="n">
        <x:f>'Table dégâts brute'!$F$165</x:f>
        <x:v>3</x:v>
      </x:c>
      <x:c r="K140" s="61" t="str">
        <x:v>Niveau + 0x9E</x:v>
      </x:c>
      <x:c r="L140" s="61" t="str">
        <x:v>Courbe V1–V8 confirmée</x:v>
      </x:c>
      <x:c r="M140" s="61" t="str">
        <x:v>Élevée</x:v>
      </x:c>
      <x:c r="N140" s="61" t="str"/>
    </x:row>
    <x:row r="141">
      <x:c r="A141" s="55" t="str">
        <x:v>Mine de Sniper</x:v>
      </x:c>
      <x:c r="B141" s="55" t="str">
        <x:v>Impact A</x:v>
      </x:c>
      <x:c r="C141" s="55" t="n">
        <x:v>3</x:v>
      </x:c>
      <x:c r="D141" s="64" t="n">
        <x:v>160</x:v>
      </x:c>
      <x:c r="E141" s="55" t="str">
        <x:v>094057CCh</x:v>
      </x:c>
      <x:c r="F141" s="64" t="n">
        <x:f>'Table dégâts brute'!$B$166</x:f>
        <x:v>0</x:v>
      </x:c>
      <x:c r="G141" s="67" t="n">
        <x:f>'Table dégâts brute'!$C$166</x:f>
        <x:v>43</x:v>
      </x:c>
      <x:c r="H141" s="67" t="n">
        <x:f>'Table dégâts brute'!$D$166</x:f>
        <x:v>43</x:v>
      </x:c>
      <x:c r="I141" s="64" t="n">
        <x:f>'Table dégâts brute'!$E$166</x:f>
        <x:v>1</x:v>
      </x:c>
      <x:c r="J141" s="64" t="n">
        <x:f>'Table dégâts brute'!$F$166</x:f>
        <x:v>3</x:v>
      </x:c>
      <x:c r="K141" s="61" t="str">
        <x:v>Niveau + 0x9E</x:v>
      </x:c>
      <x:c r="L141" s="61" t="str">
        <x:v>Courbe V1–V8 confirmée</x:v>
      </x:c>
      <x:c r="M141" s="61" t="str">
        <x:v>Élevée</x:v>
      </x:c>
      <x:c r="N141" s="61" t="str"/>
    </x:row>
    <x:row r="142">
      <x:c r="A142" s="55" t="str">
        <x:v>Mine de Sniper</x:v>
      </x:c>
      <x:c r="B142" s="55" t="str">
        <x:v>Impact A</x:v>
      </x:c>
      <x:c r="C142" s="55" t="n">
        <x:v>4</x:v>
      </x:c>
      <x:c r="D142" s="64" t="n">
        <x:v>161</x:v>
      </x:c>
      <x:c r="E142" s="55" t="str">
        <x:v>094057DCh</x:v>
      </x:c>
      <x:c r="F142" s="64" t="n">
        <x:f>'Table dégâts brute'!$B$167</x:f>
        <x:v>0</x:v>
      </x:c>
      <x:c r="G142" s="67" t="n">
        <x:f>'Table dégâts brute'!$C$167</x:f>
        <x:v>54</x:v>
      </x:c>
      <x:c r="H142" s="67" t="n">
        <x:f>'Table dégâts brute'!$D$167</x:f>
        <x:v>54</x:v>
      </x:c>
      <x:c r="I142" s="64" t="n">
        <x:f>'Table dégâts brute'!$E$167</x:f>
        <x:v>1</x:v>
      </x:c>
      <x:c r="J142" s="64" t="n">
        <x:f>'Table dégâts brute'!$F$167</x:f>
        <x:v>3</x:v>
      </x:c>
      <x:c r="K142" s="61" t="str">
        <x:v>Niveau + 0x9E</x:v>
      </x:c>
      <x:c r="L142" s="61" t="str">
        <x:v>Courbe V1–V8 confirmée</x:v>
      </x:c>
      <x:c r="M142" s="61" t="str">
        <x:v>Élevée</x:v>
      </x:c>
      <x:c r="N142" s="61" t="str"/>
    </x:row>
    <x:row r="143">
      <x:c r="A143" s="55" t="str">
        <x:v>Mine de Sniper</x:v>
      </x:c>
      <x:c r="B143" s="55" t="str">
        <x:v>Impact A</x:v>
      </x:c>
      <x:c r="C143" s="55" t="n">
        <x:v>5</x:v>
      </x:c>
      <x:c r="D143" s="64" t="n">
        <x:v>162</x:v>
      </x:c>
      <x:c r="E143" s="55" t="str">
        <x:v>094057ECh</x:v>
      </x:c>
      <x:c r="F143" s="64" t="n">
        <x:f>'Table dégâts brute'!$B$168</x:f>
        <x:v>0</x:v>
      </x:c>
      <x:c r="G143" s="67" t="n">
        <x:f>'Table dégâts brute'!$C$168</x:f>
        <x:v>76</x:v>
      </x:c>
      <x:c r="H143" s="67" t="n">
        <x:f>'Table dégâts brute'!$D$168</x:f>
        <x:v>76</x:v>
      </x:c>
      <x:c r="I143" s="64" t="n">
        <x:f>'Table dégâts brute'!$E$168</x:f>
        <x:v>1</x:v>
      </x:c>
      <x:c r="J143" s="64" t="n">
        <x:f>'Table dégâts brute'!$F$168</x:f>
        <x:v>3</x:v>
      </x:c>
      <x:c r="K143" s="61" t="str">
        <x:v>Niveau + 0x9E</x:v>
      </x:c>
      <x:c r="L143" s="61" t="str">
        <x:v>Courbe V1–V8 confirmée</x:v>
      </x:c>
      <x:c r="M143" s="61" t="str">
        <x:v>Élevée</x:v>
      </x:c>
      <x:c r="N143" s="61" t="str"/>
    </x:row>
    <x:row r="144">
      <x:c r="A144" s="55" t="str">
        <x:v>Mine de Sniper</x:v>
      </x:c>
      <x:c r="B144" s="55" t="str">
        <x:v>Impact A</x:v>
      </x:c>
      <x:c r="C144" s="55" t="n">
        <x:v>6</x:v>
      </x:c>
      <x:c r="D144" s="64" t="n">
        <x:v>163</x:v>
      </x:c>
      <x:c r="E144" s="55" t="str">
        <x:v>094057FCh</x:v>
      </x:c>
      <x:c r="F144" s="64" t="n">
        <x:f>'Table dégâts brute'!$B$169</x:f>
        <x:v>0</x:v>
      </x:c>
      <x:c r="G144" s="67" t="n">
        <x:f>'Table dégâts brute'!$C$169</x:f>
        <x:v>110</x:v>
      </x:c>
      <x:c r="H144" s="67" t="n">
        <x:f>'Table dégâts brute'!$D$169</x:f>
        <x:v>110</x:v>
      </x:c>
      <x:c r="I144" s="64" t="n">
        <x:f>'Table dégâts brute'!$E$169</x:f>
        <x:v>1</x:v>
      </x:c>
      <x:c r="J144" s="64" t="n">
        <x:f>'Table dégâts brute'!$F$169</x:f>
        <x:v>3</x:v>
      </x:c>
      <x:c r="K144" s="61" t="str">
        <x:v>Niveau + 0x9E</x:v>
      </x:c>
      <x:c r="L144" s="61" t="str">
        <x:v>Courbe V1–V8 confirmée</x:v>
      </x:c>
      <x:c r="M144" s="61" t="str">
        <x:v>Élevée</x:v>
      </x:c>
      <x:c r="N144" s="61" t="str"/>
    </x:row>
    <x:row r="145">
      <x:c r="A145" s="55" t="str">
        <x:v>Mine de Sniper</x:v>
      </x:c>
      <x:c r="B145" s="55" t="str">
        <x:v>Impact A</x:v>
      </x:c>
      <x:c r="C145" s="55" t="n">
        <x:v>7</x:v>
      </x:c>
      <x:c r="D145" s="64" t="n">
        <x:v>164</x:v>
      </x:c>
      <x:c r="E145" s="55" t="str">
        <x:v>0940580Ch</x:v>
      </x:c>
      <x:c r="F145" s="64" t="n">
        <x:f>'Table dégâts brute'!$B$170</x:f>
        <x:v>0</x:v>
      </x:c>
      <x:c r="G145" s="67" t="n">
        <x:f>'Table dégâts brute'!$C$170</x:f>
        <x:v>155</x:v>
      </x:c>
      <x:c r="H145" s="67" t="n">
        <x:f>'Table dégâts brute'!$D$170</x:f>
        <x:v>155</x:v>
      </x:c>
      <x:c r="I145" s="64" t="n">
        <x:f>'Table dégâts brute'!$E$170</x:f>
        <x:v>1</x:v>
      </x:c>
      <x:c r="J145" s="64" t="n">
        <x:f>'Table dégâts brute'!$F$170</x:f>
        <x:v>3</x:v>
      </x:c>
      <x:c r="K145" s="61" t="str">
        <x:v>Niveau + 0x9E</x:v>
      </x:c>
      <x:c r="L145" s="61" t="str">
        <x:v>Courbe V1–V8 confirmée</x:v>
      </x:c>
      <x:c r="M145" s="61" t="str">
        <x:v>Élevée</x:v>
      </x:c>
      <x:c r="N145" s="61" t="str"/>
    </x:row>
    <x:row r="146">
      <x:c r="A146" s="55" t="str">
        <x:v>Mine de Sniper</x:v>
      </x:c>
      <x:c r="B146" s="55" t="str">
        <x:v>Impact A</x:v>
      </x:c>
      <x:c r="C146" s="55" t="n">
        <x:v>8</x:v>
      </x:c>
      <x:c r="D146" s="64" t="n">
        <x:v>165</x:v>
      </x:c>
      <x:c r="E146" s="55" t="str">
        <x:v>0940581Ch</x:v>
      </x:c>
      <x:c r="F146" s="64" t="n">
        <x:f>'Table dégâts brute'!$B$171</x:f>
        <x:v>0</x:v>
      </x:c>
      <x:c r="G146" s="67" t="n">
        <x:f>'Table dégâts brute'!$C$171</x:f>
        <x:v>240</x:v>
      </x:c>
      <x:c r="H146" s="67" t="n">
        <x:f>'Table dégâts brute'!$D$171</x:f>
        <x:v>240</x:v>
      </x:c>
      <x:c r="I146" s="64" t="n">
        <x:f>'Table dégâts brute'!$E$171</x:f>
        <x:v>1</x:v>
      </x:c>
      <x:c r="J146" s="64" t="n">
        <x:f>'Table dégâts brute'!$F$171</x:f>
        <x:v>3</x:v>
      </x:c>
      <x:c r="K146" s="61" t="str">
        <x:v>Niveau + 0x9E</x:v>
      </x:c>
      <x:c r="L146" s="61" t="str">
        <x:v>Courbe V1–V8 confirmée</x:v>
      </x:c>
      <x:c r="M146" s="61" t="str">
        <x:v>Élevée</x:v>
      </x:c>
      <x:c r="N146" s="61" t="str"/>
    </x:row>
    <x:row r="147">
      <x:c r="A147" s="55" t="str">
        <x:v>Mine de Sniper</x:v>
      </x:c>
      <x:c r="B147" s="55" t="str">
        <x:v>Impact B</x:v>
      </x:c>
      <x:c r="C147" s="55" t="n">
        <x:v>1</x:v>
      </x:c>
      <x:c r="D147" s="64" t="n">
        <x:v>166</x:v>
      </x:c>
      <x:c r="E147" s="55" t="str">
        <x:v>0940582Ch</x:v>
      </x:c>
      <x:c r="F147" s="64" t="n">
        <x:f>'Table dégâts brute'!$B$172</x:f>
        <x:v>0</x:v>
      </x:c>
      <x:c r="G147" s="67" t="n">
        <x:f>'Table dégâts brute'!$C$172</x:f>
        <x:v>32</x:v>
      </x:c>
      <x:c r="H147" s="67" t="n">
        <x:f>'Table dégâts brute'!$D$172</x:f>
        <x:v>32</x:v>
      </x:c>
      <x:c r="I147" s="64" t="n">
        <x:f>'Table dégâts brute'!$E$172</x:f>
        <x:v>1</x:v>
      </x:c>
      <x:c r="J147" s="64" t="n">
        <x:f>'Table dégâts brute'!$F$172</x:f>
        <x:v>3</x:v>
      </x:c>
      <x:c r="K147" s="61" t="str">
        <x:v>Niveau + 0xA6</x:v>
      </x:c>
      <x:c r="L147" s="61" t="str">
        <x:v>Courbe V1–V8 confirmée</x:v>
      </x:c>
      <x:c r="M147" s="61" t="str">
        <x:v>Élevée</x:v>
      </x:c>
      <x:c r="N147" s="61" t="str"/>
    </x:row>
    <x:row r="148">
      <x:c r="A148" s="55" t="str">
        <x:v>Mine de Sniper</x:v>
      </x:c>
      <x:c r="B148" s="55" t="str">
        <x:v>Impact B</x:v>
      </x:c>
      <x:c r="C148" s="55" t="n">
        <x:v>2</x:v>
      </x:c>
      <x:c r="D148" s="64" t="n">
        <x:v>167</x:v>
      </x:c>
      <x:c r="E148" s="55" t="str">
        <x:v>0940583Ch</x:v>
      </x:c>
      <x:c r="F148" s="64" t="n">
        <x:f>'Table dégâts brute'!$B$173</x:f>
        <x:v>0</x:v>
      </x:c>
      <x:c r="G148" s="67" t="n">
        <x:f>'Table dégâts brute'!$C$173</x:f>
        <x:v>48</x:v>
      </x:c>
      <x:c r="H148" s="67" t="n">
        <x:f>'Table dégâts brute'!$D$173</x:f>
        <x:v>48</x:v>
      </x:c>
      <x:c r="I148" s="64" t="n">
        <x:f>'Table dégâts brute'!$E$173</x:f>
        <x:v>1</x:v>
      </x:c>
      <x:c r="J148" s="64" t="n">
        <x:f>'Table dégâts brute'!$F$173</x:f>
        <x:v>3</x:v>
      </x:c>
      <x:c r="K148" s="61" t="str">
        <x:v>Niveau + 0xA6</x:v>
      </x:c>
      <x:c r="L148" s="61" t="str">
        <x:v>Courbe V1–V8 confirmée</x:v>
      </x:c>
      <x:c r="M148" s="61" t="str">
        <x:v>Élevée</x:v>
      </x:c>
      <x:c r="N148" s="61" t="str"/>
    </x:row>
    <x:row r="149">
      <x:c r="A149" s="55" t="str">
        <x:v>Mine de Sniper</x:v>
      </x:c>
      <x:c r="B149" s="55" t="str">
        <x:v>Impact B</x:v>
      </x:c>
      <x:c r="C149" s="55" t="n">
        <x:v>3</x:v>
      </x:c>
      <x:c r="D149" s="64" t="n">
        <x:v>168</x:v>
      </x:c>
      <x:c r="E149" s="55" t="str">
        <x:v>0940584Ch</x:v>
      </x:c>
      <x:c r="F149" s="64" t="n">
        <x:f>'Table dégâts brute'!$B$174</x:f>
        <x:v>0</x:v>
      </x:c>
      <x:c r="G149" s="67" t="n">
        <x:f>'Table dégâts brute'!$C$174</x:f>
        <x:v>64</x:v>
      </x:c>
      <x:c r="H149" s="67" t="n">
        <x:f>'Table dégâts brute'!$D$174</x:f>
        <x:v>64</x:v>
      </x:c>
      <x:c r="I149" s="64" t="n">
        <x:f>'Table dégâts brute'!$E$174</x:f>
        <x:v>1</x:v>
      </x:c>
      <x:c r="J149" s="64" t="n">
        <x:f>'Table dégâts brute'!$F$174</x:f>
        <x:v>3</x:v>
      </x:c>
      <x:c r="K149" s="61" t="str">
        <x:v>Niveau + 0xA6</x:v>
      </x:c>
      <x:c r="L149" s="61" t="str">
        <x:v>Courbe V1–V8 confirmée</x:v>
      </x:c>
      <x:c r="M149" s="61" t="str">
        <x:v>Élevée</x:v>
      </x:c>
      <x:c r="N149" s="61" t="str"/>
    </x:row>
    <x:row r="150">
      <x:c r="A150" s="55" t="str">
        <x:v>Mine de Sniper</x:v>
      </x:c>
      <x:c r="B150" s="55" t="str">
        <x:v>Impact B</x:v>
      </x:c>
      <x:c r="C150" s="55" t="n">
        <x:v>4</x:v>
      </x:c>
      <x:c r="D150" s="64" t="n">
        <x:v>169</x:v>
      </x:c>
      <x:c r="E150" s="55" t="str">
        <x:v>0940585Ch</x:v>
      </x:c>
      <x:c r="F150" s="64" t="n">
        <x:f>'Table dégâts brute'!$B$175</x:f>
        <x:v>0</x:v>
      </x:c>
      <x:c r="G150" s="67" t="n">
        <x:f>'Table dégâts brute'!$C$175</x:f>
        <x:v>80</x:v>
      </x:c>
      <x:c r="H150" s="67" t="n">
        <x:f>'Table dégâts brute'!$D$175</x:f>
        <x:v>80</x:v>
      </x:c>
      <x:c r="I150" s="64" t="n">
        <x:f>'Table dégâts brute'!$E$175</x:f>
        <x:v>1</x:v>
      </x:c>
      <x:c r="J150" s="64" t="n">
        <x:f>'Table dégâts brute'!$F$175</x:f>
        <x:v>3</x:v>
      </x:c>
      <x:c r="K150" s="61" t="str">
        <x:v>Niveau + 0xA6</x:v>
      </x:c>
      <x:c r="L150" s="61" t="str">
        <x:v>Courbe V1–V8 confirmée</x:v>
      </x:c>
      <x:c r="M150" s="61" t="str">
        <x:v>Élevée</x:v>
      </x:c>
      <x:c r="N150" s="61" t="str"/>
    </x:row>
    <x:row r="151">
      <x:c r="A151" s="55" t="str">
        <x:v>Mine de Sniper</x:v>
      </x:c>
      <x:c r="B151" s="55" t="str">
        <x:v>Impact B</x:v>
      </x:c>
      <x:c r="C151" s="55" t="n">
        <x:v>5</x:v>
      </x:c>
      <x:c r="D151" s="64" t="n">
        <x:v>170</x:v>
      </x:c>
      <x:c r="E151" s="55" t="str">
        <x:v>0940586Ch</x:v>
      </x:c>
      <x:c r="F151" s="64" t="n">
        <x:f>'Table dégâts brute'!$B$176</x:f>
        <x:v>0</x:v>
      </x:c>
      <x:c r="G151" s="67" t="n">
        <x:f>'Table dégâts brute'!$C$176</x:f>
        <x:v>114</x:v>
      </x:c>
      <x:c r="H151" s="67" t="n">
        <x:f>'Table dégâts brute'!$D$176</x:f>
        <x:v>114</x:v>
      </x:c>
      <x:c r="I151" s="64" t="n">
        <x:f>'Table dégâts brute'!$E$176</x:f>
        <x:v>1</x:v>
      </x:c>
      <x:c r="J151" s="64" t="n">
        <x:f>'Table dégâts brute'!$F$176</x:f>
        <x:v>3</x:v>
      </x:c>
      <x:c r="K151" s="61" t="str">
        <x:v>Niveau + 0xA6</x:v>
      </x:c>
      <x:c r="L151" s="61" t="str">
        <x:v>Courbe V1–V8 confirmée</x:v>
      </x:c>
      <x:c r="M151" s="61" t="str">
        <x:v>Élevée</x:v>
      </x:c>
      <x:c r="N151" s="61" t="str"/>
    </x:row>
    <x:row r="152">
      <x:c r="A152" s="55" t="str">
        <x:v>Mine de Sniper</x:v>
      </x:c>
      <x:c r="B152" s="55" t="str">
        <x:v>Impact B</x:v>
      </x:c>
      <x:c r="C152" s="55" t="n">
        <x:v>6</x:v>
      </x:c>
      <x:c r="D152" s="64" t="n">
        <x:v>171</x:v>
      </x:c>
      <x:c r="E152" s="55" t="str">
        <x:v>0940587Ch</x:v>
      </x:c>
      <x:c r="F152" s="64" t="n">
        <x:f>'Table dégâts brute'!$B$177</x:f>
        <x:v>0</x:v>
      </x:c>
      <x:c r="G152" s="67" t="n">
        <x:f>'Table dégâts brute'!$C$177</x:f>
        <x:v>165</x:v>
      </x:c>
      <x:c r="H152" s="67" t="n">
        <x:f>'Table dégâts brute'!$D$177</x:f>
        <x:v>165</x:v>
      </x:c>
      <x:c r="I152" s="64" t="n">
        <x:f>'Table dégâts brute'!$E$177</x:f>
        <x:v>1</x:v>
      </x:c>
      <x:c r="J152" s="64" t="n">
        <x:f>'Table dégâts brute'!$F$177</x:f>
        <x:v>3</x:v>
      </x:c>
      <x:c r="K152" s="61" t="str">
        <x:v>Niveau + 0xA6</x:v>
      </x:c>
      <x:c r="L152" s="61" t="str">
        <x:v>Courbe V1–V8 confirmée</x:v>
      </x:c>
      <x:c r="M152" s="61" t="str">
        <x:v>Élevée</x:v>
      </x:c>
      <x:c r="N152" s="61" t="str"/>
    </x:row>
    <x:row r="153">
      <x:c r="A153" s="55" t="str">
        <x:v>Mine de Sniper</x:v>
      </x:c>
      <x:c r="B153" s="55" t="str">
        <x:v>Impact B</x:v>
      </x:c>
      <x:c r="C153" s="55" t="n">
        <x:v>7</x:v>
      </x:c>
      <x:c r="D153" s="64" t="n">
        <x:v>172</x:v>
      </x:c>
      <x:c r="E153" s="55" t="str">
        <x:v>0940588Ch</x:v>
      </x:c>
      <x:c r="F153" s="64" t="n">
        <x:f>'Table dégâts brute'!$B$178</x:f>
        <x:v>0</x:v>
      </x:c>
      <x:c r="G153" s="67" t="n">
        <x:f>'Table dégâts brute'!$C$178</x:f>
        <x:v>232.5</x:v>
      </x:c>
      <x:c r="H153" s="67" t="n">
        <x:f>'Table dégâts brute'!$D$178</x:f>
        <x:v>232.5</x:v>
      </x:c>
      <x:c r="I153" s="64" t="n">
        <x:f>'Table dégâts brute'!$E$178</x:f>
        <x:v>1</x:v>
      </x:c>
      <x:c r="J153" s="64" t="n">
        <x:f>'Table dégâts brute'!$F$178</x:f>
        <x:v>3</x:v>
      </x:c>
      <x:c r="K153" s="61" t="str">
        <x:v>Niveau + 0xA6</x:v>
      </x:c>
      <x:c r="L153" s="61" t="str">
        <x:v>Courbe V1–V8 confirmée</x:v>
      </x:c>
      <x:c r="M153" s="61" t="str">
        <x:v>Élevée</x:v>
      </x:c>
      <x:c r="N153" s="61" t="str"/>
    </x:row>
    <x:row r="154">
      <x:c r="A154" s="55" t="str">
        <x:v>Mine de Sniper</x:v>
      </x:c>
      <x:c r="B154" s="55" t="str">
        <x:v>Impact B</x:v>
      </x:c>
      <x:c r="C154" s="55" t="n">
        <x:v>8</x:v>
      </x:c>
      <x:c r="D154" s="64" t="n">
        <x:v>173</x:v>
      </x:c>
      <x:c r="E154" s="55" t="str">
        <x:v>0940589Ch</x:v>
      </x:c>
      <x:c r="F154" s="64" t="n">
        <x:f>'Table dégâts brute'!$B$179</x:f>
        <x:v>0</x:v>
      </x:c>
      <x:c r="G154" s="67" t="n">
        <x:f>'Table dégâts brute'!$C$179</x:f>
        <x:v>360</x:v>
      </x:c>
      <x:c r="H154" s="67" t="n">
        <x:f>'Table dégâts brute'!$D$179</x:f>
        <x:v>360</x:v>
      </x:c>
      <x:c r="I154" s="64" t="n">
        <x:f>'Table dégâts brute'!$E$179</x:f>
        <x:v>1</x:v>
      </x:c>
      <x:c r="J154" s="64" t="n">
        <x:f>'Table dégâts brute'!$F$179</x:f>
        <x:v>3</x:v>
      </x:c>
      <x:c r="K154" s="61" t="str">
        <x:v>Niveau + 0xA6</x:v>
      </x:c>
      <x:c r="L154" s="61" t="str">
        <x:v>Courbe V1–V8 confirmée</x:v>
      </x:c>
      <x:c r="M154" s="61" t="str">
        <x:v>Élevée</x:v>
      </x:c>
      <x:c r="N154" s="61" t="str"/>
    </x:row>
    <x:row r="155">
      <x:c r="A155" s="55" t="str">
        <x:v>Mine de Sniper</x:v>
      </x:c>
      <x:c r="B155" s="55" t="str">
        <x:v>Mine / secondaire</x:v>
      </x:c>
      <x:c r="C155" s="55" t="n">
        <x:v>1</x:v>
      </x:c>
      <x:c r="D155" s="64" t="n">
        <x:v>174</x:v>
      </x:c>
      <x:c r="E155" s="55" t="str">
        <x:v>094058ACh</x:v>
      </x:c>
      <x:c r="F155" s="64" t="n">
        <x:f>'Table dégâts brute'!$B$180</x:f>
        <x:v>0</x:v>
      </x:c>
      <x:c r="G155" s="67" t="n">
        <x:f>'Table dégâts brute'!$C$180</x:f>
        <x:v>10.5</x:v>
      </x:c>
      <x:c r="H155" s="67" t="n">
        <x:f>'Table dégâts brute'!$D$180</x:f>
        <x:v>10.5</x:v>
      </x:c>
      <x:c r="I155" s="64" t="n">
        <x:f>'Table dégâts brute'!$E$180</x:f>
        <x:v>0</x:v>
      </x:c>
      <x:c r="J155" s="64" t="n">
        <x:f>'Table dégâts brute'!$F$180</x:f>
        <x:v>2</x:v>
      </x:c>
      <x:c r="K155" s="61" t="str">
        <x:v>Bloc adjacent de la mine</x:v>
      </x:c>
      <x:c r="L155" s="61" t="str">
        <x:v>Courbe cohérente; sous-rôle à confirmer</x:v>
      </x:c>
      <x:c r="M155" s="61" t="str">
        <x:v>Moyenne</x:v>
      </x:c>
      <x:c r="N155" s="61" t="str"/>
    </x:row>
    <x:row r="156">
      <x:c r="A156" s="55" t="str">
        <x:v>Mine de Sniper</x:v>
      </x:c>
      <x:c r="B156" s="55" t="str">
        <x:v>Mine / secondaire</x:v>
      </x:c>
      <x:c r="C156" s="55" t="n">
        <x:v>2</x:v>
      </x:c>
      <x:c r="D156" s="64" t="n">
        <x:v>175</x:v>
      </x:c>
      <x:c r="E156" s="55" t="str">
        <x:v>094058BCh</x:v>
      </x:c>
      <x:c r="F156" s="64" t="n">
        <x:f>'Table dégâts brute'!$B$181</x:f>
        <x:v>0</x:v>
      </x:c>
      <x:c r="G156" s="67" t="n">
        <x:f>'Table dégâts brute'!$C$181</x:f>
        <x:v>16</x:v>
      </x:c>
      <x:c r="H156" s="67" t="n">
        <x:f>'Table dégâts brute'!$D$181</x:f>
        <x:v>16</x:v>
      </x:c>
      <x:c r="I156" s="64" t="n">
        <x:f>'Table dégâts brute'!$E$181</x:f>
        <x:v>0</x:v>
      </x:c>
      <x:c r="J156" s="64" t="n">
        <x:f>'Table dégâts brute'!$F$181</x:f>
        <x:v>2</x:v>
      </x:c>
      <x:c r="K156" s="61" t="str">
        <x:v>Bloc adjacent de la mine</x:v>
      </x:c>
      <x:c r="L156" s="61" t="str">
        <x:v>Courbe cohérente; sous-rôle à confirmer</x:v>
      </x:c>
      <x:c r="M156" s="61" t="str">
        <x:v>Moyenne</x:v>
      </x:c>
      <x:c r="N156" s="61" t="str"/>
    </x:row>
    <x:row r="157">
      <x:c r="A157" s="55" t="str">
        <x:v>Mine de Sniper</x:v>
      </x:c>
      <x:c r="B157" s="55" t="str">
        <x:v>Mine / secondaire</x:v>
      </x:c>
      <x:c r="C157" s="55" t="n">
        <x:v>3</x:v>
      </x:c>
      <x:c r="D157" s="64" t="n">
        <x:v>176</x:v>
      </x:c>
      <x:c r="E157" s="55" t="str">
        <x:v>094058CCh</x:v>
      </x:c>
      <x:c r="F157" s="64" t="n">
        <x:f>'Table dégâts brute'!$B$182</x:f>
        <x:v>0</x:v>
      </x:c>
      <x:c r="G157" s="67" t="n">
        <x:f>'Table dégâts brute'!$C$182</x:f>
        <x:v>21.5</x:v>
      </x:c>
      <x:c r="H157" s="67" t="n">
        <x:f>'Table dégâts brute'!$D$182</x:f>
        <x:v>21.5</x:v>
      </x:c>
      <x:c r="I157" s="64" t="n">
        <x:f>'Table dégâts brute'!$E$182</x:f>
        <x:v>0</x:v>
      </x:c>
      <x:c r="J157" s="64" t="n">
        <x:f>'Table dégâts brute'!$F$182</x:f>
        <x:v>2</x:v>
      </x:c>
      <x:c r="K157" s="61" t="str">
        <x:v>Bloc adjacent de la mine</x:v>
      </x:c>
      <x:c r="L157" s="61" t="str">
        <x:v>Courbe cohérente; sous-rôle à confirmer</x:v>
      </x:c>
      <x:c r="M157" s="61" t="str">
        <x:v>Moyenne</x:v>
      </x:c>
      <x:c r="N157" s="61" t="str"/>
    </x:row>
    <x:row r="158">
      <x:c r="A158" s="55" t="str">
        <x:v>Mine de Sniper</x:v>
      </x:c>
      <x:c r="B158" s="55" t="str">
        <x:v>Mine / secondaire</x:v>
      </x:c>
      <x:c r="C158" s="55" t="n">
        <x:v>4</x:v>
      </x:c>
      <x:c r="D158" s="64" t="n">
        <x:v>177</x:v>
      </x:c>
      <x:c r="E158" s="55" t="str">
        <x:v>094058DCh</x:v>
      </x:c>
      <x:c r="F158" s="64" t="n">
        <x:f>'Table dégâts brute'!$B$183</x:f>
        <x:v>0</x:v>
      </x:c>
      <x:c r="G158" s="67" t="n">
        <x:f>'Table dégâts brute'!$C$183</x:f>
        <x:v>26</x:v>
      </x:c>
      <x:c r="H158" s="67" t="n">
        <x:f>'Table dégâts brute'!$D$183</x:f>
        <x:v>26</x:v>
      </x:c>
      <x:c r="I158" s="64" t="n">
        <x:f>'Table dégâts brute'!$E$183</x:f>
        <x:v>0</x:v>
      </x:c>
      <x:c r="J158" s="64" t="n">
        <x:f>'Table dégâts brute'!$F$183</x:f>
        <x:v>2</x:v>
      </x:c>
      <x:c r="K158" s="61" t="str">
        <x:v>Bloc adjacent de la mine</x:v>
      </x:c>
      <x:c r="L158" s="61" t="str">
        <x:v>Courbe cohérente; sous-rôle à confirmer</x:v>
      </x:c>
      <x:c r="M158" s="61" t="str">
        <x:v>Moyenne</x:v>
      </x:c>
      <x:c r="N158" s="61" t="str"/>
    </x:row>
    <x:row r="159">
      <x:c r="A159" s="55" t="str">
        <x:v>Mine de Sniper</x:v>
      </x:c>
      <x:c r="B159" s="55" t="str">
        <x:v>Mine / secondaire</x:v>
      </x:c>
      <x:c r="C159" s="55" t="n">
        <x:v>5</x:v>
      </x:c>
      <x:c r="D159" s="64" t="n">
        <x:v>178</x:v>
      </x:c>
      <x:c r="E159" s="55" t="str">
        <x:v>094058ECh</x:v>
      </x:c>
      <x:c r="F159" s="64" t="n">
        <x:f>'Table dégâts brute'!$B$184</x:f>
        <x:v>0</x:v>
      </x:c>
      <x:c r="G159" s="67" t="n">
        <x:f>'Table dégâts brute'!$C$184</x:f>
        <x:v>76</x:v>
      </x:c>
      <x:c r="H159" s="67" t="n">
        <x:f>'Table dégâts brute'!$D$184</x:f>
        <x:v>76</x:v>
      </x:c>
      <x:c r="I159" s="64" t="n">
        <x:f>'Table dégâts brute'!$E$184</x:f>
        <x:v>0</x:v>
      </x:c>
      <x:c r="J159" s="64" t="n">
        <x:f>'Table dégâts brute'!$F$184</x:f>
        <x:v>2</x:v>
      </x:c>
      <x:c r="K159" s="61" t="str">
        <x:v>Bloc adjacent de la mine</x:v>
      </x:c>
      <x:c r="L159" s="61" t="str">
        <x:v>Courbe cohérente; sous-rôle à confirmer</x:v>
      </x:c>
      <x:c r="M159" s="61" t="str">
        <x:v>Moyenne</x:v>
      </x:c>
      <x:c r="N159" s="61" t="str"/>
    </x:row>
    <x:row r="160">
      <x:c r="A160" s="55" t="str">
        <x:v>Mine de Sniper</x:v>
      </x:c>
      <x:c r="B160" s="55" t="str">
        <x:v>Mine / secondaire</x:v>
      </x:c>
      <x:c r="C160" s="55" t="n">
        <x:v>6</x:v>
      </x:c>
      <x:c r="D160" s="64" t="n">
        <x:v>179</x:v>
      </x:c>
      <x:c r="E160" s="55" t="str">
        <x:v>094058FCh</x:v>
      </x:c>
      <x:c r="F160" s="64" t="n">
        <x:f>'Table dégâts brute'!$B$185</x:f>
        <x:v>0</x:v>
      </x:c>
      <x:c r="G160" s="67" t="n">
        <x:f>'Table dégâts brute'!$C$185</x:f>
        <x:v>110</x:v>
      </x:c>
      <x:c r="H160" s="67" t="n">
        <x:f>'Table dégâts brute'!$D$185</x:f>
        <x:v>110</x:v>
      </x:c>
      <x:c r="I160" s="64" t="n">
        <x:f>'Table dégâts brute'!$E$185</x:f>
        <x:v>0</x:v>
      </x:c>
      <x:c r="J160" s="64" t="n">
        <x:f>'Table dégâts brute'!$F$185</x:f>
        <x:v>2</x:v>
      </x:c>
      <x:c r="K160" s="61" t="str">
        <x:v>Bloc adjacent de la mine</x:v>
      </x:c>
      <x:c r="L160" s="61" t="str">
        <x:v>Courbe cohérente; sous-rôle à confirmer</x:v>
      </x:c>
      <x:c r="M160" s="61" t="str">
        <x:v>Moyenne</x:v>
      </x:c>
      <x:c r="N160" s="61" t="str"/>
    </x:row>
    <x:row r="161">
      <x:c r="A161" s="55" t="str">
        <x:v>Mine de Sniper</x:v>
      </x:c>
      <x:c r="B161" s="55" t="str">
        <x:v>Mine / secondaire</x:v>
      </x:c>
      <x:c r="C161" s="55" t="n">
        <x:v>7</x:v>
      </x:c>
      <x:c r="D161" s="64" t="n">
        <x:v>180</x:v>
      </x:c>
      <x:c r="E161" s="55" t="str">
        <x:v>0940590Ch</x:v>
      </x:c>
      <x:c r="F161" s="64" t="n">
        <x:f>'Table dégâts brute'!$B$186</x:f>
        <x:v>0</x:v>
      </x:c>
      <x:c r="G161" s="67" t="n">
        <x:f>'Table dégâts brute'!$C$186</x:f>
        <x:v>155</x:v>
      </x:c>
      <x:c r="H161" s="67" t="n">
        <x:f>'Table dégâts brute'!$D$186</x:f>
        <x:v>155</x:v>
      </x:c>
      <x:c r="I161" s="64" t="n">
        <x:f>'Table dégâts brute'!$E$186</x:f>
        <x:v>0</x:v>
      </x:c>
      <x:c r="J161" s="64" t="n">
        <x:f>'Table dégâts brute'!$F$186</x:f>
        <x:v>2</x:v>
      </x:c>
      <x:c r="K161" s="61" t="str">
        <x:v>Bloc adjacent de la mine</x:v>
      </x:c>
      <x:c r="L161" s="61" t="str">
        <x:v>Courbe cohérente; sous-rôle à confirmer</x:v>
      </x:c>
      <x:c r="M161" s="61" t="str">
        <x:v>Moyenne</x:v>
      </x:c>
      <x:c r="N161" s="61" t="str"/>
    </x:row>
    <x:row r="162">
      <x:c r="A162" s="55" t="str">
        <x:v>Mine de Sniper</x:v>
      </x:c>
      <x:c r="B162" s="55" t="str">
        <x:v>Mine / secondaire</x:v>
      </x:c>
      <x:c r="C162" s="55" t="n">
        <x:v>8</x:v>
      </x:c>
      <x:c r="D162" s="64" t="n">
        <x:v>181</x:v>
      </x:c>
      <x:c r="E162" s="55" t="str">
        <x:v>0940591Ch</x:v>
      </x:c>
      <x:c r="F162" s="64" t="n">
        <x:f>'Table dégâts brute'!$B$187</x:f>
        <x:v>0</x:v>
      </x:c>
      <x:c r="G162" s="67" t="n">
        <x:f>'Table dégâts brute'!$C$187</x:f>
        <x:v>240</x:v>
      </x:c>
      <x:c r="H162" s="67" t="n">
        <x:f>'Table dégâts brute'!$D$187</x:f>
        <x:v>240</x:v>
      </x:c>
      <x:c r="I162" s="64" t="n">
        <x:f>'Table dégâts brute'!$E$187</x:f>
        <x:v>0</x:v>
      </x:c>
      <x:c r="J162" s="64" t="n">
        <x:f>'Table dégâts brute'!$F$187</x:f>
        <x:v>2</x:v>
      </x:c>
      <x:c r="K162" s="61" t="str">
        <x:v>Bloc adjacent de la mine</x:v>
      </x:c>
      <x:c r="L162" s="61" t="str">
        <x:v>Courbe cohérente; sous-rôle à confirmer</x:v>
      </x:c>
      <x:c r="M162" s="61" t="str">
        <x:v>Moyenne</x:v>
      </x:c>
      <x:c r="N162" s="61" t="str"/>
    </x:row>
    <x:row r="163">
      <x:c r="A163" s="55" t="str">
        <x:v>Aspiro-Canon</x:v>
      </x:c>
      <x:c r="B163" s="55" t="str">
        <x:v>Comète restituée A</x:v>
      </x:c>
      <x:c r="C163" s="55" t="n">
        <x:v>1</x:v>
      </x:c>
      <x:c r="D163" s="64" t="n">
        <x:v>182</x:v>
      </x:c>
      <x:c r="E163" s="55" t="str">
        <x:v>0940592Ch</x:v>
      </x:c>
      <x:c r="F163" s="64" t="n">
        <x:f>'Table dégâts brute'!$B$188</x:f>
        <x:v>0</x:v>
      </x:c>
      <x:c r="G163" s="67" t="n">
        <x:f>'Table dégâts brute'!$C$188</x:f>
        <x:v>9.600000381469727</x:v>
      </x:c>
      <x:c r="H163" s="67" t="n">
        <x:f>'Table dégâts brute'!$D$188</x:f>
        <x:v>9.600000381469727</x:v>
      </x:c>
      <x:c r="I163" s="64" t="n">
        <x:f>'Table dégâts brute'!$E$188</x:f>
        <x:v>1</x:v>
      </x:c>
      <x:c r="J163" s="64" t="n">
        <x:f>'Table dégâts brute'!$F$188</x:f>
        <x:v>2</x:v>
      </x:c>
      <x:c r="K163" s="61" t="str">
        <x:v>0x092D4EC8; niveau + 0xB6</x:v>
      </x:c>
      <x:c r="L163" s="61" t="str">
        <x:v>Courbe V1–V8 confirmée</x:v>
      </x:c>
      <x:c r="M163" s="61" t="str">
        <x:v>Élevée</x:v>
      </x:c>
      <x:c r="N163" s="61" t="str"/>
    </x:row>
    <x:row r="164">
      <x:c r="A164" s="55" t="str">
        <x:v>Aspiro-Canon</x:v>
      </x:c>
      <x:c r="B164" s="55" t="str">
        <x:v>Comète restituée A</x:v>
      </x:c>
      <x:c r="C164" s="55" t="n">
        <x:v>2</x:v>
      </x:c>
      <x:c r="D164" s="64" t="n">
        <x:v>183</x:v>
      </x:c>
      <x:c r="E164" s="55" t="str">
        <x:v>0940593Ch</x:v>
      </x:c>
      <x:c r="F164" s="64" t="n">
        <x:f>'Table dégâts brute'!$B$189</x:f>
        <x:v>0</x:v>
      </x:c>
      <x:c r="G164" s="67" t="n">
        <x:f>'Table dégâts brute'!$C$189</x:f>
        <x:v>15</x:v>
      </x:c>
      <x:c r="H164" s="67" t="n">
        <x:f>'Table dégâts brute'!$D$189</x:f>
        <x:v>15</x:v>
      </x:c>
      <x:c r="I164" s="64" t="n">
        <x:f>'Table dégâts brute'!$E$189</x:f>
        <x:v>1</x:v>
      </x:c>
      <x:c r="J164" s="64" t="n">
        <x:f>'Table dégâts brute'!$F$189</x:f>
        <x:v>2</x:v>
      </x:c>
      <x:c r="K164" s="61" t="str">
        <x:v>0x092D4EC8; niveau + 0xB6</x:v>
      </x:c>
      <x:c r="L164" s="61" t="str">
        <x:v>Courbe V1–V8 confirmée</x:v>
      </x:c>
      <x:c r="M164" s="61" t="str">
        <x:v>Élevée</x:v>
      </x:c>
      <x:c r="N164" s="61" t="str"/>
    </x:row>
    <x:row r="165">
      <x:c r="A165" s="55" t="str">
        <x:v>Aspiro-Canon</x:v>
      </x:c>
      <x:c r="B165" s="55" t="str">
        <x:v>Comète restituée A</x:v>
      </x:c>
      <x:c r="C165" s="55" t="n">
        <x:v>3</x:v>
      </x:c>
      <x:c r="D165" s="64" t="n">
        <x:v>184</x:v>
      </x:c>
      <x:c r="E165" s="55" t="str">
        <x:v>0940594Ch</x:v>
      </x:c>
      <x:c r="F165" s="64" t="n">
        <x:f>'Table dégâts brute'!$B$190</x:f>
        <x:v>0</x:v>
      </x:c>
      <x:c r="G165" s="67" t="n">
        <x:f>'Table dégâts brute'!$C$190</x:f>
        <x:v>32</x:v>
      </x:c>
      <x:c r="H165" s="67" t="n">
        <x:f>'Table dégâts brute'!$D$190</x:f>
        <x:v>32</x:v>
      </x:c>
      <x:c r="I165" s="64" t="n">
        <x:f>'Table dégâts brute'!$E$190</x:f>
        <x:v>1</x:v>
      </x:c>
      <x:c r="J165" s="64" t="n">
        <x:f>'Table dégâts brute'!$F$190</x:f>
        <x:v>2</x:v>
      </x:c>
      <x:c r="K165" s="61" t="str">
        <x:v>0x092D4EC8; niveau + 0xB6</x:v>
      </x:c>
      <x:c r="L165" s="61" t="str">
        <x:v>Courbe V1–V8 confirmée</x:v>
      </x:c>
      <x:c r="M165" s="61" t="str">
        <x:v>Élevée</x:v>
      </x:c>
      <x:c r="N165" s="61" t="str"/>
    </x:row>
    <x:row r="166">
      <x:c r="A166" s="55" t="str">
        <x:v>Aspiro-Canon</x:v>
      </x:c>
      <x:c r="B166" s="55" t="str">
        <x:v>Comète restituée A</x:v>
      </x:c>
      <x:c r="C166" s="55" t="n">
        <x:v>4</x:v>
      </x:c>
      <x:c r="D166" s="64" t="n">
        <x:v>185</x:v>
      </x:c>
      <x:c r="E166" s="55" t="str">
        <x:v>0940595Ch</x:v>
      </x:c>
      <x:c r="F166" s="64" t="n">
        <x:f>'Table dégâts brute'!$B$191</x:f>
        <x:v>0</x:v>
      </x:c>
      <x:c r="G166" s="67" t="n">
        <x:f>'Table dégâts brute'!$C$191</x:f>
        <x:v>38</x:v>
      </x:c>
      <x:c r="H166" s="67" t="n">
        <x:f>'Table dégâts brute'!$D$191</x:f>
        <x:v>38</x:v>
      </x:c>
      <x:c r="I166" s="64" t="n">
        <x:f>'Table dégâts brute'!$E$191</x:f>
        <x:v>1</x:v>
      </x:c>
      <x:c r="J166" s="64" t="n">
        <x:f>'Table dégâts brute'!$F$191</x:f>
        <x:v>2</x:v>
      </x:c>
      <x:c r="K166" s="61" t="str">
        <x:v>0x092D4EC8; niveau + 0xB6</x:v>
      </x:c>
      <x:c r="L166" s="61" t="str">
        <x:v>Courbe V1–V8 confirmée</x:v>
      </x:c>
      <x:c r="M166" s="61" t="str">
        <x:v>Élevée</x:v>
      </x:c>
      <x:c r="N166" s="61" t="str"/>
    </x:row>
    <x:row r="167">
      <x:c r="A167" s="55" t="str">
        <x:v>Aspiro-Canon</x:v>
      </x:c>
      <x:c r="B167" s="55" t="str">
        <x:v>Comète restituée A</x:v>
      </x:c>
      <x:c r="C167" s="55" t="n">
        <x:v>5</x:v>
      </x:c>
      <x:c r="D167" s="64" t="n">
        <x:v>186</x:v>
      </x:c>
      <x:c r="E167" s="55" t="str">
        <x:v>0940596Ch</x:v>
      </x:c>
      <x:c r="F167" s="64" t="n">
        <x:f>'Table dégâts brute'!$B$192</x:f>
        <x:v>0</x:v>
      </x:c>
      <x:c r="G167" s="67" t="n">
        <x:f>'Table dégâts brute'!$C$192</x:f>
        <x:v>80</x:v>
      </x:c>
      <x:c r="H167" s="67" t="n">
        <x:f>'Table dégâts brute'!$D$192</x:f>
        <x:v>80</x:v>
      </x:c>
      <x:c r="I167" s="64" t="n">
        <x:f>'Table dégâts brute'!$E$192</x:f>
        <x:v>1</x:v>
      </x:c>
      <x:c r="J167" s="64" t="n">
        <x:f>'Table dégâts brute'!$F$192</x:f>
        <x:v>2</x:v>
      </x:c>
      <x:c r="K167" s="61" t="str">
        <x:v>0x092D4EC8; niveau + 0xB6</x:v>
      </x:c>
      <x:c r="L167" s="61" t="str">
        <x:v>Courbe V1–V8 confirmée</x:v>
      </x:c>
      <x:c r="M167" s="61" t="str">
        <x:v>Élevée</x:v>
      </x:c>
      <x:c r="N167" s="61" t="str"/>
    </x:row>
    <x:row r="168">
      <x:c r="A168" s="55" t="str">
        <x:v>Aspiro-Canon</x:v>
      </x:c>
      <x:c r="B168" s="55" t="str">
        <x:v>Comète restituée A</x:v>
      </x:c>
      <x:c r="C168" s="55" t="n">
        <x:v>6</x:v>
      </x:c>
      <x:c r="D168" s="64" t="n">
        <x:v>187</x:v>
      </x:c>
      <x:c r="E168" s="55" t="str">
        <x:v>0940597Ch</x:v>
      </x:c>
      <x:c r="F168" s="64" t="n">
        <x:f>'Table dégâts brute'!$B$193</x:f>
        <x:v>0</x:v>
      </x:c>
      <x:c r="G168" s="67" t="n">
        <x:f>'Table dégâts brute'!$C$193</x:f>
        <x:v>115</x:v>
      </x:c>
      <x:c r="H168" s="67" t="n">
        <x:f>'Table dégâts brute'!$D$193</x:f>
        <x:v>115</x:v>
      </x:c>
      <x:c r="I168" s="64" t="n">
        <x:f>'Table dégâts brute'!$E$193</x:f>
        <x:v>1</x:v>
      </x:c>
      <x:c r="J168" s="64" t="n">
        <x:f>'Table dégâts brute'!$F$193</x:f>
        <x:v>2</x:v>
      </x:c>
      <x:c r="K168" s="61" t="str">
        <x:v>0x092D4EC8; niveau + 0xB6</x:v>
      </x:c>
      <x:c r="L168" s="61" t="str">
        <x:v>Courbe V1–V8 confirmée</x:v>
      </x:c>
      <x:c r="M168" s="61" t="str">
        <x:v>Élevée</x:v>
      </x:c>
      <x:c r="N168" s="61" t="str"/>
    </x:row>
    <x:row r="169">
      <x:c r="A169" s="55" t="str">
        <x:v>Aspiro-Canon</x:v>
      </x:c>
      <x:c r="B169" s="55" t="str">
        <x:v>Comète restituée A</x:v>
      </x:c>
      <x:c r="C169" s="55" t="n">
        <x:v>7</x:v>
      </x:c>
      <x:c r="D169" s="64" t="n">
        <x:v>188</x:v>
      </x:c>
      <x:c r="E169" s="55" t="str">
        <x:v>0940598Ch</x:v>
      </x:c>
      <x:c r="F169" s="64" t="n">
        <x:f>'Table dégâts brute'!$B$194</x:f>
        <x:v>0</x:v>
      </x:c>
      <x:c r="G169" s="67" t="n">
        <x:f>'Table dégâts brute'!$C$194</x:f>
        <x:v>157.5</x:v>
      </x:c>
      <x:c r="H169" s="67" t="n">
        <x:f>'Table dégâts brute'!$D$194</x:f>
        <x:v>157.5</x:v>
      </x:c>
      <x:c r="I169" s="64" t="n">
        <x:f>'Table dégâts brute'!$E$194</x:f>
        <x:v>1</x:v>
      </x:c>
      <x:c r="J169" s="64" t="n">
        <x:f>'Table dégâts brute'!$F$194</x:f>
        <x:v>2</x:v>
      </x:c>
      <x:c r="K169" s="61" t="str">
        <x:v>0x092D4EC8; niveau + 0xB6</x:v>
      </x:c>
      <x:c r="L169" s="61" t="str">
        <x:v>Courbe V1–V8 confirmée</x:v>
      </x:c>
      <x:c r="M169" s="61" t="str">
        <x:v>Élevée</x:v>
      </x:c>
      <x:c r="N169" s="61" t="str"/>
    </x:row>
    <x:row r="170">
      <x:c r="A170" s="55" t="str">
        <x:v>Aspiro-Canon</x:v>
      </x:c>
      <x:c r="B170" s="55" t="str">
        <x:v>Comète restituée A</x:v>
      </x:c>
      <x:c r="C170" s="55" t="n">
        <x:v>8</x:v>
      </x:c>
      <x:c r="D170" s="64" t="n">
        <x:v>189</x:v>
      </x:c>
      <x:c r="E170" s="55" t="str">
        <x:v>0940599Ch</x:v>
      </x:c>
      <x:c r="F170" s="64" t="n">
        <x:f>'Table dégâts brute'!$B$195</x:f>
        <x:v>0</x:v>
      </x:c>
      <x:c r="G170" s="67" t="n">
        <x:f>'Table dégâts brute'!$C$195</x:f>
        <x:v>265</x:v>
      </x:c>
      <x:c r="H170" s="67" t="n">
        <x:f>'Table dégâts brute'!$D$195</x:f>
        <x:v>265</x:v>
      </x:c>
      <x:c r="I170" s="64" t="n">
        <x:f>'Table dégâts brute'!$E$195</x:f>
        <x:v>1</x:v>
      </x:c>
      <x:c r="J170" s="64" t="n">
        <x:f>'Table dégâts brute'!$F$195</x:f>
        <x:v>2</x:v>
      </x:c>
      <x:c r="K170" s="61" t="str">
        <x:v>0x092D4EC8; niveau + 0xB6</x:v>
      </x:c>
      <x:c r="L170" s="61" t="str">
        <x:v>Courbe V1–V8 confirmée</x:v>
      </x:c>
      <x:c r="M170" s="61" t="str">
        <x:v>Élevée</x:v>
      </x:c>
      <x:c r="N170" s="61" t="str"/>
    </x:row>
    <x:row r="171">
      <x:c r="A171" s="55" t="str">
        <x:v>Aspiro-Canon</x:v>
      </x:c>
      <x:c r="B171" s="55" t="str">
        <x:v>Comète restituée B</x:v>
      </x:c>
      <x:c r="C171" s="55" t="n">
        <x:v>1</x:v>
      </x:c>
      <x:c r="D171" s="64" t="n">
        <x:v>190</x:v>
      </x:c>
      <x:c r="E171" s="55" t="str">
        <x:v>094059ACh</x:v>
      </x:c>
      <x:c r="F171" s="64" t="n">
        <x:f>'Table dégâts brute'!$B$196</x:f>
        <x:v>0</x:v>
      </x:c>
      <x:c r="G171" s="67" t="n">
        <x:f>'Table dégâts brute'!$C$196</x:f>
        <x:v>4.800000190734863</x:v>
      </x:c>
      <x:c r="H171" s="67" t="n">
        <x:f>'Table dégâts brute'!$D$196</x:f>
        <x:v>4.800000190734863</x:v>
      </x:c>
      <x:c r="I171" s="64" t="n">
        <x:f>'Table dégâts brute'!$E$196</x:f>
        <x:v>1</x:v>
      </x:c>
      <x:c r="J171" s="64" t="n">
        <x:f>'Table dégâts brute'!$F$196</x:f>
        <x:v>2</x:v>
      </x:c>
      <x:c r="K171" s="61" t="str">
        <x:v>0x092D4FE0; niveau + 0xBE</x:v>
      </x:c>
      <x:c r="L171" s="61" t="str">
        <x:v>Courbe V1–V8 confirmée</x:v>
      </x:c>
      <x:c r="M171" s="61" t="str">
        <x:v>Élevée</x:v>
      </x:c>
      <x:c r="N171" s="61" t="str"/>
    </x:row>
    <x:row r="172">
      <x:c r="A172" s="55" t="str">
        <x:v>Aspiro-Canon</x:v>
      </x:c>
      <x:c r="B172" s="55" t="str">
        <x:v>Comète restituée B</x:v>
      </x:c>
      <x:c r="C172" s="55" t="n">
        <x:v>2</x:v>
      </x:c>
      <x:c r="D172" s="64" t="n">
        <x:v>191</x:v>
      </x:c>
      <x:c r="E172" s="55" t="str">
        <x:v>094059BCh</x:v>
      </x:c>
      <x:c r="F172" s="64" t="n">
        <x:f>'Table dégâts brute'!$B$197</x:f>
        <x:v>0</x:v>
      </x:c>
      <x:c r="G172" s="67" t="n">
        <x:f>'Table dégâts brute'!$C$197</x:f>
        <x:v>7.5</x:v>
      </x:c>
      <x:c r="H172" s="67" t="n">
        <x:f>'Table dégâts brute'!$D$197</x:f>
        <x:v>7.5</x:v>
      </x:c>
      <x:c r="I172" s="64" t="n">
        <x:f>'Table dégâts brute'!$E$197</x:f>
        <x:v>1</x:v>
      </x:c>
      <x:c r="J172" s="64" t="n">
        <x:f>'Table dégâts brute'!$F$197</x:f>
        <x:v>2</x:v>
      </x:c>
      <x:c r="K172" s="61" t="str">
        <x:v>0x092D4FE0; niveau + 0xBE</x:v>
      </x:c>
      <x:c r="L172" s="61" t="str">
        <x:v>Courbe V1–V8 confirmée</x:v>
      </x:c>
      <x:c r="M172" s="61" t="str">
        <x:v>Élevée</x:v>
      </x:c>
      <x:c r="N172" s="61" t="str"/>
    </x:row>
    <x:row r="173">
      <x:c r="A173" s="55" t="str">
        <x:v>Aspiro-Canon</x:v>
      </x:c>
      <x:c r="B173" s="55" t="str">
        <x:v>Comète restituée B</x:v>
      </x:c>
      <x:c r="C173" s="55" t="n">
        <x:v>3</x:v>
      </x:c>
      <x:c r="D173" s="64" t="n">
        <x:v>192</x:v>
      </x:c>
      <x:c r="E173" s="55" t="str">
        <x:v>094059CCh</x:v>
      </x:c>
      <x:c r="F173" s="64" t="n">
        <x:f>'Table dégâts brute'!$B$198</x:f>
        <x:v>0</x:v>
      </x:c>
      <x:c r="G173" s="67" t="n">
        <x:f>'Table dégâts brute'!$C$198</x:f>
        <x:v>16</x:v>
      </x:c>
      <x:c r="H173" s="67" t="n">
        <x:f>'Table dégâts brute'!$D$198</x:f>
        <x:v>16</x:v>
      </x:c>
      <x:c r="I173" s="64" t="n">
        <x:f>'Table dégâts brute'!$E$198</x:f>
        <x:v>1</x:v>
      </x:c>
      <x:c r="J173" s="64" t="n">
        <x:f>'Table dégâts brute'!$F$198</x:f>
        <x:v>2</x:v>
      </x:c>
      <x:c r="K173" s="61" t="str">
        <x:v>0x092D4FE0; niveau + 0xBE</x:v>
      </x:c>
      <x:c r="L173" s="61" t="str">
        <x:v>Courbe V1–V8 confirmée</x:v>
      </x:c>
      <x:c r="M173" s="61" t="str">
        <x:v>Élevée</x:v>
      </x:c>
      <x:c r="N173" s="61" t="str"/>
    </x:row>
    <x:row r="174">
      <x:c r="A174" s="55" t="str">
        <x:v>Aspiro-Canon</x:v>
      </x:c>
      <x:c r="B174" s="55" t="str">
        <x:v>Comète restituée B</x:v>
      </x:c>
      <x:c r="C174" s="55" t="n">
        <x:v>4</x:v>
      </x:c>
      <x:c r="D174" s="64" t="n">
        <x:v>193</x:v>
      </x:c>
      <x:c r="E174" s="55" t="str">
        <x:v>094059DCh</x:v>
      </x:c>
      <x:c r="F174" s="64" t="n">
        <x:f>'Table dégâts brute'!$B$199</x:f>
        <x:v>0</x:v>
      </x:c>
      <x:c r="G174" s="67" t="n">
        <x:f>'Table dégâts brute'!$C$199</x:f>
        <x:v>32</x:v>
      </x:c>
      <x:c r="H174" s="67" t="n">
        <x:f>'Table dégâts brute'!$D$199</x:f>
        <x:v>32</x:v>
      </x:c>
      <x:c r="I174" s="64" t="n">
        <x:f>'Table dégâts brute'!$E$199</x:f>
        <x:v>1</x:v>
      </x:c>
      <x:c r="J174" s="64" t="n">
        <x:f>'Table dégâts brute'!$F$199</x:f>
        <x:v>2</x:v>
      </x:c>
      <x:c r="K174" s="61" t="str">
        <x:v>0x092D4FE0; niveau + 0xBE</x:v>
      </x:c>
      <x:c r="L174" s="61" t="str">
        <x:v>Courbe V1–V8 confirmée</x:v>
      </x:c>
      <x:c r="M174" s="61" t="str">
        <x:v>Élevée</x:v>
      </x:c>
      <x:c r="N174" s="61" t="str"/>
    </x:row>
    <x:row r="175">
      <x:c r="A175" s="55" t="str">
        <x:v>Aspiro-Canon</x:v>
      </x:c>
      <x:c r="B175" s="55" t="str">
        <x:v>Comète restituée B</x:v>
      </x:c>
      <x:c r="C175" s="55" t="n">
        <x:v>5</x:v>
      </x:c>
      <x:c r="D175" s="64" t="n">
        <x:v>194</x:v>
      </x:c>
      <x:c r="E175" s="55" t="str">
        <x:v>094059ECh</x:v>
      </x:c>
      <x:c r="F175" s="64" t="n">
        <x:f>'Table dégâts brute'!$B$200</x:f>
        <x:v>0</x:v>
      </x:c>
      <x:c r="G175" s="67" t="n">
        <x:f>'Table dégâts brute'!$C$200</x:f>
        <x:v>60</x:v>
      </x:c>
      <x:c r="H175" s="67" t="n">
        <x:f>'Table dégâts brute'!$D$200</x:f>
        <x:v>60</x:v>
      </x:c>
      <x:c r="I175" s="64" t="n">
        <x:f>'Table dégâts brute'!$E$200</x:f>
        <x:v>1</x:v>
      </x:c>
      <x:c r="J175" s="64" t="n">
        <x:f>'Table dégâts brute'!$F$200</x:f>
        <x:v>2</x:v>
      </x:c>
      <x:c r="K175" s="61" t="str">
        <x:v>0x092D4FE0; niveau + 0xBE</x:v>
      </x:c>
      <x:c r="L175" s="61" t="str">
        <x:v>Courbe V1–V8 confirmée</x:v>
      </x:c>
      <x:c r="M175" s="61" t="str">
        <x:v>Élevée</x:v>
      </x:c>
      <x:c r="N175" s="61" t="str"/>
    </x:row>
    <x:row r="176">
      <x:c r="A176" s="55" t="str">
        <x:v>Aspiro-Canon</x:v>
      </x:c>
      <x:c r="B176" s="55" t="str">
        <x:v>Comète restituée B</x:v>
      </x:c>
      <x:c r="C176" s="55" t="n">
        <x:v>6</x:v>
      </x:c>
      <x:c r="D176" s="64" t="n">
        <x:v>195</x:v>
      </x:c>
      <x:c r="E176" s="55" t="str">
        <x:v>094059FCh</x:v>
      </x:c>
      <x:c r="F176" s="64" t="n">
        <x:f>'Table dégâts brute'!$B$201</x:f>
        <x:v>0</x:v>
      </x:c>
      <x:c r="G176" s="67" t="n">
        <x:f>'Table dégâts brute'!$C$201</x:f>
        <x:v>90</x:v>
      </x:c>
      <x:c r="H176" s="67" t="n">
        <x:f>'Table dégâts brute'!$D$201</x:f>
        <x:v>90</x:v>
      </x:c>
      <x:c r="I176" s="64" t="n">
        <x:f>'Table dégâts brute'!$E$201</x:f>
        <x:v>1</x:v>
      </x:c>
      <x:c r="J176" s="64" t="n">
        <x:f>'Table dégâts brute'!$F$201</x:f>
        <x:v>2</x:v>
      </x:c>
      <x:c r="K176" s="61" t="str">
        <x:v>0x092D4FE0; niveau + 0xBE</x:v>
      </x:c>
      <x:c r="L176" s="61" t="str">
        <x:v>Courbe V1–V8 confirmée</x:v>
      </x:c>
      <x:c r="M176" s="61" t="str">
        <x:v>Élevée</x:v>
      </x:c>
      <x:c r="N176" s="61" t="str"/>
    </x:row>
    <x:row r="177">
      <x:c r="A177" s="55" t="str">
        <x:v>Aspiro-Canon</x:v>
      </x:c>
      <x:c r="B177" s="55" t="str">
        <x:v>Comète restituée B</x:v>
      </x:c>
      <x:c r="C177" s="55" t="n">
        <x:v>7</x:v>
      </x:c>
      <x:c r="D177" s="64" t="n">
        <x:v>196</x:v>
      </x:c>
      <x:c r="E177" s="55" t="str">
        <x:v>09405A0Ch</x:v>
      </x:c>
      <x:c r="F177" s="64" t="n">
        <x:f>'Table dégâts brute'!$B$202</x:f>
        <x:v>0</x:v>
      </x:c>
      <x:c r="G177" s="67" t="n">
        <x:f>'Table dégâts brute'!$C$202</x:f>
        <x:v>125.5</x:v>
      </x:c>
      <x:c r="H177" s="67" t="n">
        <x:f>'Table dégâts brute'!$D$202</x:f>
        <x:v>125.5</x:v>
      </x:c>
      <x:c r="I177" s="64" t="n">
        <x:f>'Table dégâts brute'!$E$202</x:f>
        <x:v>1</x:v>
      </x:c>
      <x:c r="J177" s="64" t="n">
        <x:f>'Table dégâts brute'!$F$202</x:f>
        <x:v>2</x:v>
      </x:c>
      <x:c r="K177" s="61" t="str">
        <x:v>0x092D4FE0; niveau + 0xBE</x:v>
      </x:c>
      <x:c r="L177" s="61" t="str">
        <x:v>Courbe V1–V8 confirmée</x:v>
      </x:c>
      <x:c r="M177" s="61" t="str">
        <x:v>Élevée</x:v>
      </x:c>
      <x:c r="N177" s="61" t="str"/>
    </x:row>
    <x:row r="178">
      <x:c r="A178" s="55" t="str">
        <x:v>Aspiro-Canon</x:v>
      </x:c>
      <x:c r="B178" s="55" t="str">
        <x:v>Comète restituée B</x:v>
      </x:c>
      <x:c r="C178" s="55" t="n">
        <x:v>8</x:v>
      </x:c>
      <x:c r="D178" s="64" t="n">
        <x:v>197</x:v>
      </x:c>
      <x:c r="E178" s="55" t="str">
        <x:v>09405A1Ch</x:v>
      </x:c>
      <x:c r="F178" s="64" t="n">
        <x:f>'Table dégâts brute'!$B$203</x:f>
        <x:v>0</x:v>
      </x:c>
      <x:c r="G178" s="67" t="n">
        <x:f>'Table dégâts brute'!$C$203</x:f>
        <x:v>200</x:v>
      </x:c>
      <x:c r="H178" s="67" t="n">
        <x:f>'Table dégâts brute'!$D$203</x:f>
        <x:v>200</x:v>
      </x:c>
      <x:c r="I178" s="64" t="n">
        <x:f>'Table dégâts brute'!$E$203</x:f>
        <x:v>1</x:v>
      </x:c>
      <x:c r="J178" s="64" t="n">
        <x:f>'Table dégâts brute'!$F$203</x:f>
        <x:v>2</x:v>
      </x:c>
      <x:c r="K178" s="61" t="str">
        <x:v>0x092D4FE0; niveau + 0xBE</x:v>
      </x:c>
      <x:c r="L178" s="61" t="str">
        <x:v>Courbe V1–V8 confirmée</x:v>
      </x:c>
      <x:c r="M178" s="61" t="str">
        <x:v>Élevée</x:v>
      </x:c>
      <x:c r="N178" s="61" t="str"/>
    </x:row>
    <x:row r="179">
      <x:c r="A179" s="55" t="str">
        <x:v>Aspiro-Canon</x:v>
      </x:c>
      <x:c r="B179" s="55" t="str">
        <x:v>Objet relâché / auxiliaire</x:v>
      </x:c>
      <x:c r="C179" s="55" t="n">
        <x:v>1</x:v>
      </x:c>
      <x:c r="D179" s="64" t="n">
        <x:v>198</x:v>
      </x:c>
      <x:c r="E179" s="55" t="str">
        <x:v>09405A2Ch</x:v>
      </x:c>
      <x:c r="F179" s="64" t="n">
        <x:f>'Table dégâts brute'!$B$204</x:f>
        <x:v>0</x:v>
      </x:c>
      <x:c r="G179" s="67" t="n">
        <x:f>'Table dégâts brute'!$C$204</x:f>
        <x:v>0</x:v>
      </x:c>
      <x:c r="H179" s="67" t="n">
        <x:f>'Table dégâts brute'!$D$204</x:f>
        <x:v>0</x:v>
      </x:c>
      <x:c r="I179" s="64" t="n">
        <x:f>'Table dégâts brute'!$E$204</x:f>
        <x:v>0</x:v>
      </x:c>
      <x:c r="J179" s="64" t="n">
        <x:f>'Table dégâts brute'!$F$204</x:f>
        <x:v>3</x:v>
      </x:c>
      <x:c r="K179" s="61" t="str">
        <x:v>0x092D5148; niveau + 0xC6</x:v>
      </x:c>
      <x:c r="L179" s="61" t="str">
        <x:v>Indexation V1–V8 confirmée</x:v>
      </x:c>
      <x:c r="M179" s="61" t="str">
        <x:v>Élevée</x:v>
      </x:c>
      <x:c r="N179" s="61" t="str"/>
    </x:row>
    <x:row r="180">
      <x:c r="A180" s="55" t="str">
        <x:v>Aspiro-Canon</x:v>
      </x:c>
      <x:c r="B180" s="55" t="str">
        <x:v>Objet relâché / auxiliaire</x:v>
      </x:c>
      <x:c r="C180" s="55" t="n">
        <x:v>2</x:v>
      </x:c>
      <x:c r="D180" s="64" t="n">
        <x:v>199</x:v>
      </x:c>
      <x:c r="E180" s="55" t="str">
        <x:v>09405A3Ch</x:v>
      </x:c>
      <x:c r="F180" s="64" t="n">
        <x:f>'Table dégâts brute'!$B$205</x:f>
        <x:v>0</x:v>
      </x:c>
      <x:c r="G180" s="67" t="n">
        <x:f>'Table dégâts brute'!$C$205</x:f>
        <x:v>0</x:v>
      </x:c>
      <x:c r="H180" s="67" t="n">
        <x:f>'Table dégâts brute'!$D$205</x:f>
        <x:v>0</x:v>
      </x:c>
      <x:c r="I180" s="64" t="n">
        <x:f>'Table dégâts brute'!$E$205</x:f>
        <x:v>0</x:v>
      </x:c>
      <x:c r="J180" s="64" t="n">
        <x:f>'Table dégâts brute'!$F$205</x:f>
        <x:v>3</x:v>
      </x:c>
      <x:c r="K180" s="61" t="str">
        <x:v>0x092D5148; niveau + 0xC6</x:v>
      </x:c>
      <x:c r="L180" s="61" t="str">
        <x:v>Indexation V1–V8 confirmée</x:v>
      </x:c>
      <x:c r="M180" s="61" t="str">
        <x:v>Élevée</x:v>
      </x:c>
      <x:c r="N180" s="61" t="str"/>
    </x:row>
    <x:row r="181">
      <x:c r="A181" s="55" t="str">
        <x:v>Aspiro-Canon</x:v>
      </x:c>
      <x:c r="B181" s="55" t="str">
        <x:v>Objet relâché / auxiliaire</x:v>
      </x:c>
      <x:c r="C181" s="55" t="n">
        <x:v>3</x:v>
      </x:c>
      <x:c r="D181" s="64" t="n">
        <x:v>200</x:v>
      </x:c>
      <x:c r="E181" s="55" t="str">
        <x:v>09405A4Ch</x:v>
      </x:c>
      <x:c r="F181" s="64" t="n">
        <x:f>'Table dégâts brute'!$B$206</x:f>
        <x:v>0</x:v>
      </x:c>
      <x:c r="G181" s="67" t="n">
        <x:f>'Table dégâts brute'!$C$206</x:f>
        <x:v>0</x:v>
      </x:c>
      <x:c r="H181" s="67" t="n">
        <x:f>'Table dégâts brute'!$D$206</x:f>
        <x:v>0</x:v>
      </x:c>
      <x:c r="I181" s="64" t="n">
        <x:f>'Table dégâts brute'!$E$206</x:f>
        <x:v>0</x:v>
      </x:c>
      <x:c r="J181" s="64" t="n">
        <x:f>'Table dégâts brute'!$F$206</x:f>
        <x:v>3</x:v>
      </x:c>
      <x:c r="K181" s="61" t="str">
        <x:v>0x092D5148; niveau + 0xC6</x:v>
      </x:c>
      <x:c r="L181" s="61" t="str">
        <x:v>Indexation V1–V8 confirmée</x:v>
      </x:c>
      <x:c r="M181" s="61" t="str">
        <x:v>Élevée</x:v>
      </x:c>
      <x:c r="N181" s="61" t="str"/>
    </x:row>
    <x:row r="182">
      <x:c r="A182" s="55" t="str">
        <x:v>Aspiro-Canon</x:v>
      </x:c>
      <x:c r="B182" s="55" t="str">
        <x:v>Objet relâché / auxiliaire</x:v>
      </x:c>
      <x:c r="C182" s="55" t="n">
        <x:v>4</x:v>
      </x:c>
      <x:c r="D182" s="64" t="n">
        <x:v>201</x:v>
      </x:c>
      <x:c r="E182" s="55" t="str">
        <x:v>09405A5Ch</x:v>
      </x:c>
      <x:c r="F182" s="64" t="n">
        <x:f>'Table dégâts brute'!$B$207</x:f>
        <x:v>0</x:v>
      </x:c>
      <x:c r="G182" s="67" t="n">
        <x:f>'Table dégâts brute'!$C$207</x:f>
        <x:v>26</x:v>
      </x:c>
      <x:c r="H182" s="67" t="n">
        <x:f>'Table dégâts brute'!$D$207</x:f>
        <x:v>26</x:v>
      </x:c>
      <x:c r="I182" s="64" t="n">
        <x:f>'Table dégâts brute'!$E$207</x:f>
        <x:v>0</x:v>
      </x:c>
      <x:c r="J182" s="64" t="n">
        <x:f>'Table dégâts brute'!$F$207</x:f>
        <x:v>3</x:v>
      </x:c>
      <x:c r="K182" s="61" t="str">
        <x:v>0x092D5148; niveau + 0xC6</x:v>
      </x:c>
      <x:c r="L182" s="61" t="str">
        <x:v>Indexation V1–V8 confirmée</x:v>
      </x:c>
      <x:c r="M182" s="61" t="str">
        <x:v>Élevée</x:v>
      </x:c>
      <x:c r="N182" s="61" t="str"/>
    </x:row>
    <x:row r="183">
      <x:c r="A183" s="55" t="str">
        <x:v>Aspiro-Canon</x:v>
      </x:c>
      <x:c r="B183" s="55" t="str">
        <x:v>Objet relâché / auxiliaire</x:v>
      </x:c>
      <x:c r="C183" s="55" t="n">
        <x:v>5</x:v>
      </x:c>
      <x:c r="D183" s="64" t="n">
        <x:v>202</x:v>
      </x:c>
      <x:c r="E183" s="55" t="str">
        <x:v>09405A6Ch</x:v>
      </x:c>
      <x:c r="F183" s="64" t="n">
        <x:f>'Table dégâts brute'!$B$208</x:f>
        <x:v>0</x:v>
      </x:c>
      <x:c r="G183" s="67" t="n">
        <x:f>'Table dégâts brute'!$C$208</x:f>
        <x:v>40</x:v>
      </x:c>
      <x:c r="H183" s="67" t="n">
        <x:f>'Table dégâts brute'!$D$208</x:f>
        <x:v>40</x:v>
      </x:c>
      <x:c r="I183" s="64" t="n">
        <x:f>'Table dégâts brute'!$E$208</x:f>
        <x:v>0</x:v>
      </x:c>
      <x:c r="J183" s="64" t="n">
        <x:f>'Table dégâts brute'!$F$208</x:f>
        <x:v>3</x:v>
      </x:c>
      <x:c r="K183" s="61" t="str">
        <x:v>0x092D5148; niveau + 0xC6</x:v>
      </x:c>
      <x:c r="L183" s="61" t="str">
        <x:v>Indexation V1–V8 confirmée</x:v>
      </x:c>
      <x:c r="M183" s="61" t="str">
        <x:v>Élevée</x:v>
      </x:c>
      <x:c r="N183" s="61" t="str"/>
    </x:row>
    <x:row r="184">
      <x:c r="A184" s="55" t="str">
        <x:v>Aspiro-Canon</x:v>
      </x:c>
      <x:c r="B184" s="55" t="str">
        <x:v>Objet relâché / auxiliaire</x:v>
      </x:c>
      <x:c r="C184" s="55" t="n">
        <x:v>6</x:v>
      </x:c>
      <x:c r="D184" s="64" t="n">
        <x:v>203</x:v>
      </x:c>
      <x:c r="E184" s="55" t="str">
        <x:v>09405A7Ch</x:v>
      </x:c>
      <x:c r="F184" s="64" t="n">
        <x:f>'Table dégâts brute'!$B$209</x:f>
        <x:v>0</x:v>
      </x:c>
      <x:c r="G184" s="67" t="n">
        <x:f>'Table dégâts brute'!$C$209</x:f>
        <x:v>65</x:v>
      </x:c>
      <x:c r="H184" s="67" t="n">
        <x:f>'Table dégâts brute'!$D$209</x:f>
        <x:v>65</x:v>
      </x:c>
      <x:c r="I184" s="64" t="n">
        <x:f>'Table dégâts brute'!$E$209</x:f>
        <x:v>0</x:v>
      </x:c>
      <x:c r="J184" s="64" t="n">
        <x:f>'Table dégâts brute'!$F$209</x:f>
        <x:v>3</x:v>
      </x:c>
      <x:c r="K184" s="61" t="str">
        <x:v>0x092D5148; niveau + 0xC6</x:v>
      </x:c>
      <x:c r="L184" s="61" t="str">
        <x:v>Indexation V1–V8 confirmée</x:v>
      </x:c>
      <x:c r="M184" s="61" t="str">
        <x:v>Élevée</x:v>
      </x:c>
      <x:c r="N184" s="61" t="str"/>
    </x:row>
    <x:row r="185">
      <x:c r="A185" s="55" t="str">
        <x:v>Aspiro-Canon</x:v>
      </x:c>
      <x:c r="B185" s="55" t="str">
        <x:v>Objet relâché / auxiliaire</x:v>
      </x:c>
      <x:c r="C185" s="55" t="n">
        <x:v>7</x:v>
      </x:c>
      <x:c r="D185" s="64" t="n">
        <x:v>204</x:v>
      </x:c>
      <x:c r="E185" s="55" t="str">
        <x:v>09405A8Ch</x:v>
      </x:c>
      <x:c r="F185" s="64" t="n">
        <x:f>'Table dégâts brute'!$B$210</x:f>
        <x:v>0</x:v>
      </x:c>
      <x:c r="G185" s="67" t="n">
        <x:f>'Table dégâts brute'!$C$210</x:f>
        <x:v>92.5</x:v>
      </x:c>
      <x:c r="H185" s="67" t="n">
        <x:f>'Table dégâts brute'!$D$210</x:f>
        <x:v>92.5</x:v>
      </x:c>
      <x:c r="I185" s="64" t="n">
        <x:f>'Table dégâts brute'!$E$210</x:f>
        <x:v>0</x:v>
      </x:c>
      <x:c r="J185" s="64" t="n">
        <x:f>'Table dégâts brute'!$F$210</x:f>
        <x:v>3</x:v>
      </x:c>
      <x:c r="K185" s="61" t="str">
        <x:v>0x092D5148; niveau + 0xC6</x:v>
      </x:c>
      <x:c r="L185" s="61" t="str">
        <x:v>Indexation V1–V8 confirmée</x:v>
      </x:c>
      <x:c r="M185" s="61" t="str">
        <x:v>Élevée</x:v>
      </x:c>
      <x:c r="N185" s="61" t="str"/>
    </x:row>
    <x:row r="186">
      <x:c r="A186" s="55" t="str">
        <x:v>Aspiro-Canon</x:v>
      </x:c>
      <x:c r="B186" s="55" t="str">
        <x:v>Objet relâché / auxiliaire</x:v>
      </x:c>
      <x:c r="C186" s="55" t="n">
        <x:v>8</x:v>
      </x:c>
      <x:c r="D186" s="64" t="n">
        <x:v>205</x:v>
      </x:c>
      <x:c r="E186" s="55" t="str">
        <x:v>09405A9Ch</x:v>
      </x:c>
      <x:c r="F186" s="64" t="n">
        <x:f>'Table dégâts brute'!$B$211</x:f>
        <x:v>0</x:v>
      </x:c>
      <x:c r="G186" s="67" t="n">
        <x:f>'Table dégâts brute'!$C$211</x:f>
        <x:v>135</x:v>
      </x:c>
      <x:c r="H186" s="67" t="n">
        <x:f>'Table dégâts brute'!$D$211</x:f>
        <x:v>135</x:v>
      </x:c>
      <x:c r="I186" s="64" t="n">
        <x:f>'Table dégâts brute'!$E$211</x:f>
        <x:v>0</x:v>
      </x:c>
      <x:c r="J186" s="64" t="n">
        <x:f>'Table dégâts brute'!$F$211</x:f>
        <x:v>3</x:v>
      </x:c>
      <x:c r="K186" s="61" t="str">
        <x:v>0x092D5148; niveau + 0xC6</x:v>
      </x:c>
      <x:c r="L186" s="61" t="str">
        <x:v>Indexation V1–V8 confirmée</x:v>
      </x:c>
      <x:c r="M186" s="61" t="str">
        <x:v>Élevée</x:v>
      </x:c>
      <x:c r="N186" s="61" t="str"/>
    </x:row>
    <x:row r="187">
      <x:c r="A187" s="55" t="str">
        <x:v>Aspiro-Canon</x:v>
      </x:c>
      <x:c r="B187" s="55" t="str">
        <x:v>Statut/transformation interne</x:v>
      </x:c>
      <x:c r="C187" s="55" t="str">
        <x:v>—</x:v>
      </x:c>
      <x:c r="D187" s="64" t="n">
        <x:v>206</x:v>
      </x:c>
      <x:c r="E187" s="55" t="str">
        <x:v>09405AACh</x:v>
      </x:c>
      <x:c r="F187" s="64" t="n">
        <x:f>'Table dégâts brute'!$B$212</x:f>
        <x:v>0</x:v>
      </x:c>
      <x:c r="G187" s="67" t="n">
        <x:f>'Table dégâts brute'!$C$212</x:f>
        <x:v>0</x:v>
      </x:c>
      <x:c r="H187" s="67" t="n">
        <x:f>'Table dégâts brute'!$D$212</x:f>
        <x:v>0</x:v>
      </x:c>
      <x:c r="I187" s="64" t="n">
        <x:f>'Table dégâts brute'!$E$212</x:f>
        <x:v>10</x:v>
      </x:c>
      <x:c r="J187" s="64" t="n">
        <x:f>'Table dégâts brute'!$F$212</x:f>
        <x:v>1</x:v>
      </x:c>
      <x:c r="K187" s="61" t="str">
        <x:v>Chaîne SuckCannon</x:v>
      </x:c>
      <x:c r="L187" s="61" t="str">
        <x:v>Entrée fixe, dégâts nuls, effet 10</x:v>
      </x:c>
      <x:c r="M187" s="61" t="str">
        <x:v>Moyenne</x:v>
      </x:c>
      <x:c r="N187" s="61" t="str"/>
    </x:row>
    <x:row r="188">
      <x:c r="A188" s="55" t="str">
        <x:v>Aspiro-Canon</x:v>
      </x:c>
      <x:c r="B188" s="55" t="str">
        <x:v>Tick supplémentaire</x:v>
      </x:c>
      <x:c r="C188" s="55" t="n">
        <x:v>1</x:v>
      </x:c>
      <x:c r="D188" s="64" t="n">
        <x:v>207</x:v>
      </x:c>
      <x:c r="E188" s="55" t="str">
        <x:v>09405ABCh</x:v>
      </x:c>
      <x:c r="F188" s="64" t="n">
        <x:f>'Table dégâts brute'!$B$213</x:f>
        <x:v>1</x:v>
      </x:c>
      <x:c r="G188" s="67" t="n">
        <x:f>'Table dégâts brute'!$C$213</x:f>
        <x:v>0.06666667014360428</x:v>
      </x:c>
      <x:c r="H188" s="67" t="n">
        <x:f>'Table dégâts brute'!$D$213</x:f>
        <x:v>0.06666667014360428</x:v>
      </x:c>
      <x:c r="I188" s="64" t="n">
        <x:f>'Table dégâts brute'!$E$213</x:f>
        <x:v>0</x:v>
      </x:c>
      <x:c r="J188" s="64" t="n">
        <x:f>'Table dégâts brute'!$F$213</x:f>
        <x:v>0</x:v>
      </x:c>
      <x:c r="K188" s="61" t="str">
        <x:v>0x092D5114; niveau + 0xCF</x:v>
      </x:c>
      <x:c r="L188" s="61" t="str">
        <x:v>Courbe V1–V8 confirmée</x:v>
      </x:c>
      <x:c r="M188" s="61" t="str">
        <x:v>Élevée</x:v>
      </x:c>
      <x:c r="N188" s="61" t="str"/>
    </x:row>
    <x:row r="189">
      <x:c r="A189" s="55" t="str">
        <x:v>Aspiro-Canon</x:v>
      </x:c>
      <x:c r="B189" s="55" t="str">
        <x:v>Tick supplémentaire</x:v>
      </x:c>
      <x:c r="C189" s="55" t="n">
        <x:v>2</x:v>
      </x:c>
      <x:c r="D189" s="64" t="n">
        <x:v>208</x:v>
      </x:c>
      <x:c r="E189" s="55" t="str">
        <x:v>09405ACCh</x:v>
      </x:c>
      <x:c r="F189" s="64" t="n">
        <x:f>'Table dégâts brute'!$B$214</x:f>
        <x:v>1</x:v>
      </x:c>
      <x:c r="G189" s="67" t="n">
        <x:f>'Table dégâts brute'!$C$214</x:f>
        <x:v>0.06666667014360428</x:v>
      </x:c>
      <x:c r="H189" s="67" t="n">
        <x:f>'Table dégâts brute'!$D$214</x:f>
        <x:v>0.06666667014360428</x:v>
      </x:c>
      <x:c r="I189" s="64" t="n">
        <x:f>'Table dégâts brute'!$E$214</x:f>
        <x:v>0</x:v>
      </x:c>
      <x:c r="J189" s="64" t="n">
        <x:f>'Table dégâts brute'!$F$214</x:f>
        <x:v>0</x:v>
      </x:c>
      <x:c r="K189" s="61" t="str">
        <x:v>0x092D5114; niveau + 0xCF</x:v>
      </x:c>
      <x:c r="L189" s="61" t="str">
        <x:v>Courbe V1–V8 confirmée</x:v>
      </x:c>
      <x:c r="M189" s="61" t="str">
        <x:v>Élevée</x:v>
      </x:c>
      <x:c r="N189" s="61" t="str"/>
    </x:row>
    <x:row r="190">
      <x:c r="A190" s="55" t="str">
        <x:v>Aspiro-Canon</x:v>
      </x:c>
      <x:c r="B190" s="55" t="str">
        <x:v>Tick supplémentaire</x:v>
      </x:c>
      <x:c r="C190" s="55" t="n">
        <x:v>3</x:v>
      </x:c>
      <x:c r="D190" s="64" t="n">
        <x:v>209</x:v>
      </x:c>
      <x:c r="E190" s="55" t="str">
        <x:v>09405ADCh</x:v>
      </x:c>
      <x:c r="F190" s="64" t="n">
        <x:f>'Table dégâts brute'!$B$215</x:f>
        <x:v>1</x:v>
      </x:c>
      <x:c r="G190" s="67" t="n">
        <x:f>'Table dégâts brute'!$C$215</x:f>
        <x:v>0.2666666805744171</x:v>
      </x:c>
      <x:c r="H190" s="67" t="n">
        <x:f>'Table dégâts brute'!$D$215</x:f>
        <x:v>0.2666666805744171</x:v>
      </x:c>
      <x:c r="I190" s="64" t="n">
        <x:f>'Table dégâts brute'!$E$215</x:f>
        <x:v>0</x:v>
      </x:c>
      <x:c r="J190" s="64" t="n">
        <x:f>'Table dégâts brute'!$F$215</x:f>
        <x:v>0</x:v>
      </x:c>
      <x:c r="K190" s="61" t="str">
        <x:v>0x092D5114; niveau + 0xCF</x:v>
      </x:c>
      <x:c r="L190" s="61" t="str">
        <x:v>Courbe V1–V8 confirmée</x:v>
      </x:c>
      <x:c r="M190" s="61" t="str">
        <x:v>Élevée</x:v>
      </x:c>
      <x:c r="N190" s="61" t="str"/>
    </x:row>
    <x:row r="191">
      <x:c r="A191" s="55" t="str">
        <x:v>Aspiro-Canon</x:v>
      </x:c>
      <x:c r="B191" s="55" t="str">
        <x:v>Tick supplémentaire</x:v>
      </x:c>
      <x:c r="C191" s="55" t="n">
        <x:v>4</x:v>
      </x:c>
      <x:c r="D191" s="64" t="n">
        <x:v>210</x:v>
      </x:c>
      <x:c r="E191" s="55" t="str">
        <x:v>09405AECh</x:v>
      </x:c>
      <x:c r="F191" s="64" t="n">
        <x:f>'Table dégâts brute'!$B$216</x:f>
        <x:v>1</x:v>
      </x:c>
      <x:c r="G191" s="67" t="n">
        <x:f>'Table dégâts brute'!$C$216</x:f>
        <x:v>0.5333333611488342</x:v>
      </x:c>
      <x:c r="H191" s="67" t="n">
        <x:f>'Table dégâts brute'!$D$216</x:f>
        <x:v>0.5333333611488342</x:v>
      </x:c>
      <x:c r="I191" s="64" t="n">
        <x:f>'Table dégâts brute'!$E$216</x:f>
        <x:v>0</x:v>
      </x:c>
      <x:c r="J191" s="64" t="n">
        <x:f>'Table dégâts brute'!$F$216</x:f>
        <x:v>0</x:v>
      </x:c>
      <x:c r="K191" s="61" t="str">
        <x:v>0x092D5114; niveau + 0xCF</x:v>
      </x:c>
      <x:c r="L191" s="61" t="str">
        <x:v>Courbe V1–V8 confirmée</x:v>
      </x:c>
      <x:c r="M191" s="61" t="str">
        <x:v>Élevée</x:v>
      </x:c>
      <x:c r="N191" s="61" t="str"/>
    </x:row>
    <x:row r="192">
      <x:c r="A192" s="55" t="str">
        <x:v>Aspiro-Canon</x:v>
      </x:c>
      <x:c r="B192" s="55" t="str">
        <x:v>Tick supplémentaire</x:v>
      </x:c>
      <x:c r="C192" s="55" t="n">
        <x:v>5</x:v>
      </x:c>
      <x:c r="D192" s="64" t="n">
        <x:v>211</x:v>
      </x:c>
      <x:c r="E192" s="55" t="str">
        <x:v>09405AFCh</x:v>
      </x:c>
      <x:c r="F192" s="64" t="n">
        <x:f>'Table dégâts brute'!$B$217</x:f>
        <x:v>1</x:v>
      </x:c>
      <x:c r="G192" s="67" t="n">
        <x:f>'Table dégâts brute'!$C$217</x:f>
        <x:v>1.2000000476837158</x:v>
      </x:c>
      <x:c r="H192" s="67" t="n">
        <x:f>'Table dégâts brute'!$D$217</x:f>
        <x:v>1.2000000476837158</x:v>
      </x:c>
      <x:c r="I192" s="64" t="n">
        <x:f>'Table dégâts brute'!$E$217</x:f>
        <x:v>0</x:v>
      </x:c>
      <x:c r="J192" s="64" t="n">
        <x:f>'Table dégâts brute'!$F$217</x:f>
        <x:v>0</x:v>
      </x:c>
      <x:c r="K192" s="61" t="str">
        <x:v>0x092D5114; niveau + 0xCF</x:v>
      </x:c>
      <x:c r="L192" s="61" t="str">
        <x:v>Courbe V1–V8 confirmée</x:v>
      </x:c>
      <x:c r="M192" s="61" t="str">
        <x:v>Élevée</x:v>
      </x:c>
      <x:c r="N192" s="61" t="str"/>
    </x:row>
    <x:row r="193">
      <x:c r="A193" s="55" t="str">
        <x:v>Aspiro-Canon</x:v>
      </x:c>
      <x:c r="B193" s="55" t="str">
        <x:v>Tick supplémentaire</x:v>
      </x:c>
      <x:c r="C193" s="55" t="n">
        <x:v>6</x:v>
      </x:c>
      <x:c r="D193" s="64" t="n">
        <x:v>212</x:v>
      </x:c>
      <x:c r="E193" s="55" t="str">
        <x:v>09405B0Ch</x:v>
      </x:c>
      <x:c r="F193" s="64" t="n">
        <x:f>'Table dégâts brute'!$B$218</x:f>
        <x:v>1</x:v>
      </x:c>
      <x:c r="G193" s="67" t="n">
        <x:f>'Table dégâts brute'!$C$218</x:f>
        <x:v>2.4000000953674316</x:v>
      </x:c>
      <x:c r="H193" s="67" t="n">
        <x:f>'Table dégâts brute'!$D$218</x:f>
        <x:v>2.4000000953674316</x:v>
      </x:c>
      <x:c r="I193" s="64" t="n">
        <x:f>'Table dégâts brute'!$E$218</x:f>
        <x:v>0</x:v>
      </x:c>
      <x:c r="J193" s="64" t="n">
        <x:f>'Table dégâts brute'!$F$218</x:f>
        <x:v>0</x:v>
      </x:c>
      <x:c r="K193" s="61" t="str">
        <x:v>0x092D5114; niveau + 0xCF</x:v>
      </x:c>
      <x:c r="L193" s="61" t="str">
        <x:v>Courbe V1–V8 confirmée</x:v>
      </x:c>
      <x:c r="M193" s="61" t="str">
        <x:v>Élevée</x:v>
      </x:c>
      <x:c r="N193" s="61" t="str"/>
    </x:row>
    <x:row r="194">
      <x:c r="A194" s="55" t="str">
        <x:v>Aspiro-Canon</x:v>
      </x:c>
      <x:c r="B194" s="55" t="str">
        <x:v>Tick supplémentaire</x:v>
      </x:c>
      <x:c r="C194" s="55" t="n">
        <x:v>7</x:v>
      </x:c>
      <x:c r="D194" s="64" t="n">
        <x:v>213</x:v>
      </x:c>
      <x:c r="E194" s="55" t="str">
        <x:v>09405B1Ch</x:v>
      </x:c>
      <x:c r="F194" s="64" t="n">
        <x:f>'Table dégâts brute'!$B$219</x:f>
        <x:v>1</x:v>
      </x:c>
      <x:c r="G194" s="67" t="n">
        <x:f>'Table dégâts brute'!$C$219</x:f>
        <x:v>3.6000001430511475</x:v>
      </x:c>
      <x:c r="H194" s="67" t="n">
        <x:f>'Table dégâts brute'!$D$219</x:f>
        <x:v>3.6000001430511475</x:v>
      </x:c>
      <x:c r="I194" s="64" t="n">
        <x:f>'Table dégâts brute'!$E$219</x:f>
        <x:v>0</x:v>
      </x:c>
      <x:c r="J194" s="64" t="n">
        <x:f>'Table dégâts brute'!$F$219</x:f>
        <x:v>0</x:v>
      </x:c>
      <x:c r="K194" s="61" t="str">
        <x:v>0x092D5114; niveau + 0xCF</x:v>
      </x:c>
      <x:c r="L194" s="61" t="str">
        <x:v>Courbe V1–V8 confirmée</x:v>
      </x:c>
      <x:c r="M194" s="61" t="str">
        <x:v>Élevée</x:v>
      </x:c>
      <x:c r="N194" s="61" t="str"/>
    </x:row>
    <x:row r="195">
      <x:c r="A195" s="55" t="str">
        <x:v>Aspiro-Canon</x:v>
      </x:c>
      <x:c r="B195" s="55" t="str">
        <x:v>Tick supplémentaire</x:v>
      </x:c>
      <x:c r="C195" s="55" t="n">
        <x:v>8</x:v>
      </x:c>
      <x:c r="D195" s="64" t="n">
        <x:v>214</x:v>
      </x:c>
      <x:c r="E195" s="55" t="str">
        <x:v>09405B2Ch</x:v>
      </x:c>
      <x:c r="F195" s="64" t="n">
        <x:f>'Table dégâts brute'!$B$220</x:f>
        <x:v>1</x:v>
      </x:c>
      <x:c r="G195" s="67" t="n">
        <x:f>'Table dégâts brute'!$C$220</x:f>
        <x:v>5.000000476837158</x:v>
      </x:c>
      <x:c r="H195" s="67" t="n">
        <x:f>'Table dégâts brute'!$D$220</x:f>
        <x:v>5.000000476837158</x:v>
      </x:c>
      <x:c r="I195" s="64" t="n">
        <x:f>'Table dégâts brute'!$E$220</x:f>
        <x:v>0</x:v>
      </x:c>
      <x:c r="J195" s="64" t="n">
        <x:f>'Table dégâts brute'!$F$220</x:f>
        <x:v>0</x:v>
      </x:c>
      <x:c r="K195" s="61" t="str">
        <x:v>0x092D5114; niveau + 0xCF</x:v>
      </x:c>
      <x:c r="L195" s="61" t="str">
        <x:v>Courbe V1–V8 confirmée</x:v>
      </x:c>
      <x:c r="M195" s="61" t="str">
        <x:v>Élevée</x:v>
      </x:c>
      <x:c r="N195" s="61" t="str"/>
    </x:row>
    <x:row r="196">
      <x:c r="A196" s="55" t="str">
        <x:v>Barrière Statique</x:v>
      </x:c>
      <x:c r="B196" s="55" t="str">
        <x:v>Contact / tick de barrière</x:v>
      </x:c>
      <x:c r="C196" s="55" t="n">
        <x:v>1</x:v>
      </x:c>
      <x:c r="D196" s="64" t="n">
        <x:v>215</x:v>
      </x:c>
      <x:c r="E196" s="55" t="str">
        <x:v>09405B3Ch</x:v>
      </x:c>
      <x:c r="F196" s="64" t="n">
        <x:f>'Table dégâts brute'!$B$221</x:f>
        <x:v>2</x:v>
      </x:c>
      <x:c r="G196" s="67" t="n">
        <x:f>'Table dégâts brute'!$C$221</x:f>
        <x:v>0</x:v>
      </x:c>
      <x:c r="H196" s="67" t="n">
        <x:f>'Table dégâts brute'!$D$221</x:f>
        <x:v>0</x:v>
      </x:c>
      <x:c r="I196" s="64" t="n">
        <x:f>'Table dégâts brute'!$E$221</x:f>
        <x:v>3</x:v>
      </x:c>
      <x:c r="J196" s="64" t="n">
        <x:f>'Table dégâts brute'!$F$221</x:f>
        <x:v>1</x:v>
      </x:c>
      <x:c r="K196" s="61" t="str">
        <x:v>0x092A6A18; niveau + 0xD7</x:v>
      </x:c>
      <x:c r="L196" s="61" t="str">
        <x:v>Type 2 : le moteur applique une division par deux</x:v>
      </x:c>
      <x:c r="M196" s="61" t="str">
        <x:v>Élevée</x:v>
      </x:c>
      <x:c r="N196" s="61" t="str"/>
    </x:row>
    <x:row r="197">
      <x:c r="A197" s="55" t="str">
        <x:v>Barrière Statique</x:v>
      </x:c>
      <x:c r="B197" s="55" t="str">
        <x:v>Contact / tick de barrière</x:v>
      </x:c>
      <x:c r="C197" s="55" t="n">
        <x:v>2</x:v>
      </x:c>
      <x:c r="D197" s="64" t="n">
        <x:v>216</x:v>
      </x:c>
      <x:c r="E197" s="55" t="str">
        <x:v>09405B4Ch</x:v>
      </x:c>
      <x:c r="F197" s="64" t="n">
        <x:f>'Table dégâts brute'!$B$222</x:f>
        <x:v>2</x:v>
      </x:c>
      <x:c r="G197" s="67" t="n">
        <x:f>'Table dégâts brute'!$C$222</x:f>
        <x:v>0.1666666716337204</x:v>
      </x:c>
      <x:c r="H197" s="67" t="n">
        <x:f>'Table dégâts brute'!$D$222</x:f>
        <x:v>0.0833333358168602</x:v>
      </x:c>
      <x:c r="I197" s="64" t="n">
        <x:f>'Table dégâts brute'!$E$222</x:f>
        <x:v>3</x:v>
      </x:c>
      <x:c r="J197" s="64" t="n">
        <x:f>'Table dégâts brute'!$F$222</x:f>
        <x:v>1</x:v>
      </x:c>
      <x:c r="K197" s="61" t="str">
        <x:v>0x092A6A18; niveau + 0xD7</x:v>
      </x:c>
      <x:c r="L197" s="61" t="str">
        <x:v>Type 2 : le moteur applique une division par deux</x:v>
      </x:c>
      <x:c r="M197" s="61" t="str">
        <x:v>Élevée</x:v>
      </x:c>
      <x:c r="N197" s="61" t="str"/>
    </x:row>
    <x:row r="198">
      <x:c r="A198" s="55" t="str">
        <x:v>Barrière Statique</x:v>
      </x:c>
      <x:c r="B198" s="55" t="str">
        <x:v>Contact / tick de barrière</x:v>
      </x:c>
      <x:c r="C198" s="55" t="n">
        <x:v>3</x:v>
      </x:c>
      <x:c r="D198" s="64" t="n">
        <x:v>217</x:v>
      </x:c>
      <x:c r="E198" s="55" t="str">
        <x:v>09405B5Ch</x:v>
      </x:c>
      <x:c r="F198" s="64" t="n">
        <x:f>'Table dégâts brute'!$B$223</x:f>
        <x:v>2</x:v>
      </x:c>
      <x:c r="G198" s="67" t="n">
        <x:f>'Table dégâts brute'!$C$223</x:f>
        <x:v>0.1666666716337204</x:v>
      </x:c>
      <x:c r="H198" s="67" t="n">
        <x:f>'Table dégâts brute'!$D$223</x:f>
        <x:v>0.0833333358168602</x:v>
      </x:c>
      <x:c r="I198" s="64" t="n">
        <x:f>'Table dégâts brute'!$E$223</x:f>
        <x:v>3</x:v>
      </x:c>
      <x:c r="J198" s="64" t="n">
        <x:f>'Table dégâts brute'!$F$223</x:f>
        <x:v>1</x:v>
      </x:c>
      <x:c r="K198" s="61" t="str">
        <x:v>0x092A6A18; niveau + 0xD7</x:v>
      </x:c>
      <x:c r="L198" s="61" t="str">
        <x:v>Type 2 : le moteur applique une division par deux</x:v>
      </x:c>
      <x:c r="M198" s="61" t="str">
        <x:v>Élevée</x:v>
      </x:c>
      <x:c r="N198" s="61" t="str"/>
    </x:row>
    <x:row r="199">
      <x:c r="A199" s="55" t="str">
        <x:v>Barrière Statique</x:v>
      </x:c>
      <x:c r="B199" s="55" t="str">
        <x:v>Contact / tick de barrière</x:v>
      </x:c>
      <x:c r="C199" s="55" t="n">
        <x:v>4</x:v>
      </x:c>
      <x:c r="D199" s="64" t="n">
        <x:v>218</x:v>
      </x:c>
      <x:c r="E199" s="55" t="str">
        <x:v>09405B6Ch</x:v>
      </x:c>
      <x:c r="F199" s="64" t="n">
        <x:f>'Table dégâts brute'!$B$224</x:f>
        <x:v>2</x:v>
      </x:c>
      <x:c r="G199" s="67" t="n">
        <x:f>'Table dégâts brute'!$C$224</x:f>
        <x:v>0.1666666716337204</x:v>
      </x:c>
      <x:c r="H199" s="67" t="n">
        <x:f>'Table dégâts brute'!$D$224</x:f>
        <x:v>0.0833333358168602</x:v>
      </x:c>
      <x:c r="I199" s="64" t="n">
        <x:f>'Table dégâts brute'!$E$224</x:f>
        <x:v>3</x:v>
      </x:c>
      <x:c r="J199" s="64" t="n">
        <x:f>'Table dégâts brute'!$F$224</x:f>
        <x:v>1</x:v>
      </x:c>
      <x:c r="K199" s="61" t="str">
        <x:v>0x092A6A18; niveau + 0xD7</x:v>
      </x:c>
      <x:c r="L199" s="61" t="str">
        <x:v>Type 2 : le moteur applique une division par deux</x:v>
      </x:c>
      <x:c r="M199" s="61" t="str">
        <x:v>Élevée</x:v>
      </x:c>
      <x:c r="N199" s="61" t="str"/>
    </x:row>
    <x:row r="200">
      <x:c r="A200" s="55" t="str">
        <x:v>Barrière Statique</x:v>
      </x:c>
      <x:c r="B200" s="55" t="str">
        <x:v>Contact / tick de barrière</x:v>
      </x:c>
      <x:c r="C200" s="55" t="n">
        <x:v>5</x:v>
      </x:c>
      <x:c r="D200" s="64" t="n">
        <x:v>219</x:v>
      </x:c>
      <x:c r="E200" s="55" t="str">
        <x:v>09405B7Ch</x:v>
      </x:c>
      <x:c r="F200" s="64" t="n">
        <x:f>'Table dégâts brute'!$B$225</x:f>
        <x:v>2</x:v>
      </x:c>
      <x:c r="G200" s="67" t="n">
        <x:f>'Table dégâts brute'!$C$225</x:f>
        <x:v>0.8000000715255737</x:v>
      </x:c>
      <x:c r="H200" s="67" t="n">
        <x:f>'Table dégâts brute'!$D$225</x:f>
        <x:v>0.40000003576278687</x:v>
      </x:c>
      <x:c r="I200" s="64" t="n">
        <x:f>'Table dégâts brute'!$E$225</x:f>
        <x:v>3</x:v>
      </x:c>
      <x:c r="J200" s="64" t="n">
        <x:f>'Table dégâts brute'!$F$225</x:f>
        <x:v>1</x:v>
      </x:c>
      <x:c r="K200" s="61" t="str">
        <x:v>0x092A6A18; niveau + 0xD7</x:v>
      </x:c>
      <x:c r="L200" s="61" t="str">
        <x:v>Type 2 : le moteur applique une division par deux</x:v>
      </x:c>
      <x:c r="M200" s="61" t="str">
        <x:v>Élevée</x:v>
      </x:c>
      <x:c r="N200" s="61" t="str"/>
    </x:row>
    <x:row r="201">
      <x:c r="A201" s="55" t="str">
        <x:v>Barrière Statique</x:v>
      </x:c>
      <x:c r="B201" s="55" t="str">
        <x:v>Contact / tick de barrière</x:v>
      </x:c>
      <x:c r="C201" s="55" t="n">
        <x:v>6</x:v>
      </x:c>
      <x:c r="D201" s="64" t="n">
        <x:v>220</x:v>
      </x:c>
      <x:c r="E201" s="55" t="str">
        <x:v>09405B8Ch</x:v>
      </x:c>
      <x:c r="F201" s="64" t="n">
        <x:f>'Table dégâts brute'!$B$226</x:f>
        <x:v>2</x:v>
      </x:c>
      <x:c r="G201" s="67" t="n">
        <x:f>'Table dégâts brute'!$C$226</x:f>
        <x:v>1.1666667461395264</x:v>
      </x:c>
      <x:c r="H201" s="67" t="n">
        <x:f>'Table dégâts brute'!$D$226</x:f>
        <x:v>0.5833333730697632</x:v>
      </x:c>
      <x:c r="I201" s="64" t="n">
        <x:f>'Table dégâts brute'!$E$226</x:f>
        <x:v>3</x:v>
      </x:c>
      <x:c r="J201" s="64" t="n">
        <x:f>'Table dégâts brute'!$F$226</x:f>
        <x:v>1</x:v>
      </x:c>
      <x:c r="K201" s="61" t="str">
        <x:v>0x092A6A18; niveau + 0xD7</x:v>
      </x:c>
      <x:c r="L201" s="61" t="str">
        <x:v>Type 2 : le moteur applique une division par deux</x:v>
      </x:c>
      <x:c r="M201" s="61" t="str">
        <x:v>Élevée</x:v>
      </x:c>
      <x:c r="N201" s="61" t="str"/>
    </x:row>
    <x:row r="202">
      <x:c r="A202" s="55" t="str">
        <x:v>Barrière Statique</x:v>
      </x:c>
      <x:c r="B202" s="55" t="str">
        <x:v>Contact / tick de barrière</x:v>
      </x:c>
      <x:c r="C202" s="55" t="n">
        <x:v>7</x:v>
      </x:c>
      <x:c r="D202" s="64" t="n">
        <x:v>221</x:v>
      </x:c>
      <x:c r="E202" s="55" t="str">
        <x:v>09405B9Ch</x:v>
      </x:c>
      <x:c r="F202" s="64" t="n">
        <x:f>'Table dégâts brute'!$B$227</x:f>
        <x:v>2</x:v>
      </x:c>
      <x:c r="G202" s="67" t="n">
        <x:f>'Table dégâts brute'!$C$227</x:f>
        <x:v>2.3333334922790527</x:v>
      </x:c>
      <x:c r="H202" s="67" t="n">
        <x:f>'Table dégâts brute'!$D$227</x:f>
        <x:v>1.1666667461395264</x:v>
      </x:c>
      <x:c r="I202" s="64" t="n">
        <x:f>'Table dégâts brute'!$E$227</x:f>
        <x:v>3</x:v>
      </x:c>
      <x:c r="J202" s="64" t="n">
        <x:f>'Table dégâts brute'!$F$227</x:f>
        <x:v>1</x:v>
      </x:c>
      <x:c r="K202" s="61" t="str">
        <x:v>0x092A6A18; niveau + 0xD7</x:v>
      </x:c>
      <x:c r="L202" s="61" t="str">
        <x:v>Type 2 : le moteur applique une division par deux</x:v>
      </x:c>
      <x:c r="M202" s="61" t="str">
        <x:v>Élevée</x:v>
      </x:c>
      <x:c r="N202" s="61" t="str"/>
    </x:row>
    <x:row r="203">
      <x:c r="A203" s="55" t="str">
        <x:v>Barrière Statique</x:v>
      </x:c>
      <x:c r="B203" s="55" t="str">
        <x:v>Contact / tick de barrière</x:v>
      </x:c>
      <x:c r="C203" s="55" t="n">
        <x:v>8</x:v>
      </x:c>
      <x:c r="D203" s="64" t="n">
        <x:v>222</x:v>
      </x:c>
      <x:c r="E203" s="55" t="str">
        <x:v>09405BACh</x:v>
      </x:c>
      <x:c r="F203" s="64" t="n">
        <x:f>'Table dégâts brute'!$B$228</x:f>
        <x:v>2</x:v>
      </x:c>
      <x:c r="G203" s="67" t="n">
        <x:f>'Table dégâts brute'!$C$228</x:f>
        <x:v>3.3333334922790527</x:v>
      </x:c>
      <x:c r="H203" s="67" t="n">
        <x:f>'Table dégâts brute'!$D$228</x:f>
        <x:v>1.6666667461395264</x:v>
      </x:c>
      <x:c r="I203" s="64" t="n">
        <x:f>'Table dégâts brute'!$E$228</x:f>
        <x:v>3</x:v>
      </x:c>
      <x:c r="J203" s="64" t="n">
        <x:f>'Table dégâts brute'!$F$228</x:f>
        <x:v>1</x:v>
      </x:c>
      <x:c r="K203" s="61" t="str">
        <x:v>0x092A6A18; niveau + 0xD7</x:v>
      </x:c>
      <x:c r="L203" s="61" t="str">
        <x:v>Type 2 : le moteur applique une division par deux</x:v>
      </x:c>
      <x:c r="M203" s="61" t="str">
        <x:v>Élevée</x:v>
      </x:c>
      <x:c r="N203" s="61" t="str"/>
    </x:row>
    <x:row r="204">
      <x:c r="A204" s="55" t="str">
        <x:v>Barrière Statique</x:v>
      </x:c>
      <x:c r="B204" s="55" t="str">
        <x:v>Décharge / bolt secondaire</x:v>
      </x:c>
      <x:c r="C204" s="55" t="n">
        <x:v>1</x:v>
      </x:c>
      <x:c r="D204" s="64" t="n">
        <x:v>223</x:v>
      </x:c>
      <x:c r="E204" s="55" t="str">
        <x:v>09405BBCh</x:v>
      </x:c>
      <x:c r="F204" s="64" t="n">
        <x:f>'Table dégâts brute'!$B$229</x:f>
        <x:v>0</x:v>
      </x:c>
      <x:c r="G204" s="67" t="n">
        <x:f>'Table dégâts brute'!$C$229</x:f>
        <x:v>0</x:v>
      </x:c>
      <x:c r="H204" s="67" t="n">
        <x:f>'Table dégâts brute'!$D$229</x:f>
        <x:v>0</x:v>
      </x:c>
      <x:c r="I204" s="64" t="n">
        <x:f>'Table dégâts brute'!$E$229</x:f>
        <x:v>1</x:v>
      </x:c>
      <x:c r="J204" s="64" t="n">
        <x:f>'Table dégâts brute'!$F$229</x:f>
        <x:v>2</x:v>
      </x:c>
      <x:c r="K204" s="61" t="str">
        <x:v>0x092A9018; niveau + 0xDF</x:v>
      </x:c>
      <x:c r="L204" s="61" t="str">
        <x:v>Courbe V1–V8 confirmée; V1–V3 nulles</x:v>
      </x:c>
      <x:c r="M204" s="61" t="str">
        <x:v>Élevée</x:v>
      </x:c>
      <x:c r="N204" s="61" t="str"/>
    </x:row>
    <x:row r="205">
      <x:c r="A205" s="55" t="str">
        <x:v>Barrière Statique</x:v>
      </x:c>
      <x:c r="B205" s="55" t="str">
        <x:v>Décharge / bolt secondaire</x:v>
      </x:c>
      <x:c r="C205" s="55" t="n">
        <x:v>2</x:v>
      </x:c>
      <x:c r="D205" s="64" t="n">
        <x:v>224</x:v>
      </x:c>
      <x:c r="E205" s="55" t="str">
        <x:v>09405BCCh</x:v>
      </x:c>
      <x:c r="F205" s="64" t="n">
        <x:f>'Table dégâts brute'!$B$230</x:f>
        <x:v>0</x:v>
      </x:c>
      <x:c r="G205" s="67" t="n">
        <x:f>'Table dégâts brute'!$C$230</x:f>
        <x:v>0</x:v>
      </x:c>
      <x:c r="H205" s="67" t="n">
        <x:f>'Table dégâts brute'!$D$230</x:f>
        <x:v>0</x:v>
      </x:c>
      <x:c r="I205" s="64" t="n">
        <x:f>'Table dégâts brute'!$E$230</x:f>
        <x:v>1</x:v>
      </x:c>
      <x:c r="J205" s="64" t="n">
        <x:f>'Table dégâts brute'!$F$230</x:f>
        <x:v>2</x:v>
      </x:c>
      <x:c r="K205" s="61" t="str">
        <x:v>0x092A9018; niveau + 0xDF</x:v>
      </x:c>
      <x:c r="L205" s="61" t="str">
        <x:v>Courbe V1–V8 confirmée; V1–V3 nulles</x:v>
      </x:c>
      <x:c r="M205" s="61" t="str">
        <x:v>Élevée</x:v>
      </x:c>
      <x:c r="N205" s="61" t="str"/>
    </x:row>
    <x:row r="206">
      <x:c r="A206" s="55" t="str">
        <x:v>Barrière Statique</x:v>
      </x:c>
      <x:c r="B206" s="55" t="str">
        <x:v>Décharge / bolt secondaire</x:v>
      </x:c>
      <x:c r="C206" s="55" t="n">
        <x:v>3</x:v>
      </x:c>
      <x:c r="D206" s="64" t="n">
        <x:v>225</x:v>
      </x:c>
      <x:c r="E206" s="55" t="str">
        <x:v>09405BDCh</x:v>
      </x:c>
      <x:c r="F206" s="64" t="n">
        <x:f>'Table dégâts brute'!$B$231</x:f>
        <x:v>0</x:v>
      </x:c>
      <x:c r="G206" s="67" t="n">
        <x:f>'Table dégâts brute'!$C$231</x:f>
        <x:v>0</x:v>
      </x:c>
      <x:c r="H206" s="67" t="n">
        <x:f>'Table dégâts brute'!$D$231</x:f>
        <x:v>0</x:v>
      </x:c>
      <x:c r="I206" s="64" t="n">
        <x:f>'Table dégâts brute'!$E$231</x:f>
        <x:v>1</x:v>
      </x:c>
      <x:c r="J206" s="64" t="n">
        <x:f>'Table dégâts brute'!$F$231</x:f>
        <x:v>2</x:v>
      </x:c>
      <x:c r="K206" s="61" t="str">
        <x:v>0x092A9018; niveau + 0xDF</x:v>
      </x:c>
      <x:c r="L206" s="61" t="str">
        <x:v>Courbe V1–V8 confirmée; V1–V3 nulles</x:v>
      </x:c>
      <x:c r="M206" s="61" t="str">
        <x:v>Élevée</x:v>
      </x:c>
      <x:c r="N206" s="61" t="str"/>
    </x:row>
    <x:row r="207">
      <x:c r="A207" s="55" t="str">
        <x:v>Barrière Statique</x:v>
      </x:c>
      <x:c r="B207" s="55" t="str">
        <x:v>Décharge / bolt secondaire</x:v>
      </x:c>
      <x:c r="C207" s="55" t="n">
        <x:v>4</x:v>
      </x:c>
      <x:c r="D207" s="64" t="n">
        <x:v>226</x:v>
      </x:c>
      <x:c r="E207" s="55" t="str">
        <x:v>09405BECh</x:v>
      </x:c>
      <x:c r="F207" s="64" t="n">
        <x:f>'Table dégâts brute'!$B$232</x:f>
        <x:v>0</x:v>
      </x:c>
      <x:c r="G207" s="67" t="n">
        <x:f>'Table dégâts brute'!$C$232</x:f>
        <x:v>40</x:v>
      </x:c>
      <x:c r="H207" s="67" t="n">
        <x:f>'Table dégâts brute'!$D$232</x:f>
        <x:v>40</x:v>
      </x:c>
      <x:c r="I207" s="64" t="n">
        <x:f>'Table dégâts brute'!$E$232</x:f>
        <x:v>1</x:v>
      </x:c>
      <x:c r="J207" s="64" t="n">
        <x:f>'Table dégâts brute'!$F$232</x:f>
        <x:v>2</x:v>
      </x:c>
      <x:c r="K207" s="61" t="str">
        <x:v>0x092A9018; niveau + 0xDF</x:v>
      </x:c>
      <x:c r="L207" s="61" t="str">
        <x:v>Courbe V1–V8 confirmée; V1–V3 nulles</x:v>
      </x:c>
      <x:c r="M207" s="61" t="str">
        <x:v>Élevée</x:v>
      </x:c>
      <x:c r="N207" s="61" t="str"/>
    </x:row>
    <x:row r="208">
      <x:c r="A208" s="55" t="str">
        <x:v>Barrière Statique</x:v>
      </x:c>
      <x:c r="B208" s="55" t="str">
        <x:v>Décharge / bolt secondaire</x:v>
      </x:c>
      <x:c r="C208" s="55" t="n">
        <x:v>5</x:v>
      </x:c>
      <x:c r="D208" s="64" t="n">
        <x:v>227</x:v>
      </x:c>
      <x:c r="E208" s="55" t="str">
        <x:v>09405BFCh</x:v>
      </x:c>
      <x:c r="F208" s="64" t="n">
        <x:f>'Table dégâts brute'!$B$233</x:f>
        <x:v>0</x:v>
      </x:c>
      <x:c r="G208" s="67" t="n">
        <x:f>'Table dégâts brute'!$C$233</x:f>
        <x:v>50</x:v>
      </x:c>
      <x:c r="H208" s="67" t="n">
        <x:f>'Table dégâts brute'!$D$233</x:f>
        <x:v>50</x:v>
      </x:c>
      <x:c r="I208" s="64" t="n">
        <x:f>'Table dégâts brute'!$E$233</x:f>
        <x:v>1</x:v>
      </x:c>
      <x:c r="J208" s="64" t="n">
        <x:f>'Table dégâts brute'!$F$233</x:f>
        <x:v>2</x:v>
      </x:c>
      <x:c r="K208" s="61" t="str">
        <x:v>0x092A9018; niveau + 0xDF</x:v>
      </x:c>
      <x:c r="L208" s="61" t="str">
        <x:v>Courbe V1–V8 confirmée; V1–V3 nulles</x:v>
      </x:c>
      <x:c r="M208" s="61" t="str">
        <x:v>Élevée</x:v>
      </x:c>
      <x:c r="N208" s="61" t="str"/>
    </x:row>
    <x:row r="209">
      <x:c r="A209" s="55" t="str">
        <x:v>Barrière Statique</x:v>
      </x:c>
      <x:c r="B209" s="55" t="str">
        <x:v>Décharge / bolt secondaire</x:v>
      </x:c>
      <x:c r="C209" s="55" t="n">
        <x:v>6</x:v>
      </x:c>
      <x:c r="D209" s="64" t="n">
        <x:v>228</x:v>
      </x:c>
      <x:c r="E209" s="55" t="str">
        <x:v>09405C0Ch</x:v>
      </x:c>
      <x:c r="F209" s="64" t="n">
        <x:f>'Table dégâts brute'!$B$234</x:f>
        <x:v>0</x:v>
      </x:c>
      <x:c r="G209" s="67" t="n">
        <x:f>'Table dégâts brute'!$C$234</x:f>
        <x:v>100</x:v>
      </x:c>
      <x:c r="H209" s="67" t="n">
        <x:f>'Table dégâts brute'!$D$234</x:f>
        <x:v>100</x:v>
      </x:c>
      <x:c r="I209" s="64" t="n">
        <x:f>'Table dégâts brute'!$E$234</x:f>
        <x:v>1</x:v>
      </x:c>
      <x:c r="J209" s="64" t="n">
        <x:f>'Table dégâts brute'!$F$234</x:f>
        <x:v>2</x:v>
      </x:c>
      <x:c r="K209" s="61" t="str">
        <x:v>0x092A9018; niveau + 0xDF</x:v>
      </x:c>
      <x:c r="L209" s="61" t="str">
        <x:v>Courbe V1–V8 confirmée; V1–V3 nulles</x:v>
      </x:c>
      <x:c r="M209" s="61" t="str">
        <x:v>Élevée</x:v>
      </x:c>
      <x:c r="N209" s="61" t="str"/>
    </x:row>
    <x:row r="210">
      <x:c r="A210" s="55" t="str">
        <x:v>Barrière Statique</x:v>
      </x:c>
      <x:c r="B210" s="55" t="str">
        <x:v>Décharge / bolt secondaire</x:v>
      </x:c>
      <x:c r="C210" s="55" t="n">
        <x:v>7</x:v>
      </x:c>
      <x:c r="D210" s="64" t="n">
        <x:v>229</x:v>
      </x:c>
      <x:c r="E210" s="55" t="str">
        <x:v>09405C1Ch</x:v>
      </x:c>
      <x:c r="F210" s="64" t="n">
        <x:f>'Table dégâts brute'!$B$235</x:f>
        <x:v>0</x:v>
      </x:c>
      <x:c r="G210" s="67" t="n">
        <x:f>'Table dégâts brute'!$C$235</x:f>
        <x:v>150</x:v>
      </x:c>
      <x:c r="H210" s="67" t="n">
        <x:f>'Table dégâts brute'!$D$235</x:f>
        <x:v>150</x:v>
      </x:c>
      <x:c r="I210" s="64" t="n">
        <x:f>'Table dégâts brute'!$E$235</x:f>
        <x:v>1</x:v>
      </x:c>
      <x:c r="J210" s="64" t="n">
        <x:f>'Table dégâts brute'!$F$235</x:f>
        <x:v>2</x:v>
      </x:c>
      <x:c r="K210" s="61" t="str">
        <x:v>0x092A9018; niveau + 0xDF</x:v>
      </x:c>
      <x:c r="L210" s="61" t="str">
        <x:v>Courbe V1–V8 confirmée; V1–V3 nulles</x:v>
      </x:c>
      <x:c r="M210" s="61" t="str">
        <x:v>Élevée</x:v>
      </x:c>
      <x:c r="N210" s="61" t="str"/>
    </x:row>
    <x:row r="211">
      <x:c r="A211" s="55" t="str">
        <x:v>Barrière Statique</x:v>
      </x:c>
      <x:c r="B211" s="55" t="str">
        <x:v>Décharge / bolt secondaire</x:v>
      </x:c>
      <x:c r="C211" s="55" t="n">
        <x:v>8</x:v>
      </x:c>
      <x:c r="D211" s="64" t="n">
        <x:v>230</x:v>
      </x:c>
      <x:c r="E211" s="55" t="str">
        <x:v>09405C2Ch</x:v>
      </x:c>
      <x:c r="F211" s="64" t="n">
        <x:f>'Table dégâts brute'!$B$236</x:f>
        <x:v>0</x:v>
      </x:c>
      <x:c r="G211" s="67" t="n">
        <x:f>'Table dégâts brute'!$C$236</x:f>
        <x:v>200</x:v>
      </x:c>
      <x:c r="H211" s="67" t="n">
        <x:f>'Table dégâts brute'!$D$236</x:f>
        <x:v>200</x:v>
      </x:c>
      <x:c r="I211" s="64" t="n">
        <x:f>'Table dégâts brute'!$E$236</x:f>
        <x:v>1</x:v>
      </x:c>
      <x:c r="J211" s="64" t="n">
        <x:f>'Table dégâts brute'!$F$236</x:f>
        <x:v>2</x:v>
      </x:c>
      <x:c r="K211" s="61" t="str">
        <x:v>0x092A9018; niveau + 0xDF</x:v>
      </x:c>
      <x:c r="L211" s="61" t="str">
        <x:v>Courbe V1–V8 confirmée; V1–V3 nulles</x:v>
      </x:c>
      <x:c r="M211" s="61" t="str">
        <x:v>Élevée</x:v>
      </x:c>
      <x:c r="N211" s="61" t="str"/>
    </x:row>
    <x:row r="212">
      <x:c r="A212" s="55" t="str">
        <x:v>T.E.L.T.</x:v>
      </x:c>
      <x:c r="B212" s="55" t="str">
        <x:v>Roquette principale</x:v>
      </x:c>
      <x:c r="C212" s="55" t="n">
        <x:v>1</x:v>
      </x:c>
      <x:c r="D212" s="64" t="n">
        <x:v>231</x:v>
      </x:c>
      <x:c r="E212" s="55" t="str">
        <x:v>09405C3Ch</x:v>
      </x:c>
      <x:c r="F212" s="64" t="n">
        <x:f>'Table dégâts brute'!$B$237</x:f>
        <x:v>0</x:v>
      </x:c>
      <x:c r="G212" s="67" t="n">
        <x:f>'Table dégâts brute'!$C$237</x:f>
        <x:v>75</x:v>
      </x:c>
      <x:c r="H212" s="67" t="n">
        <x:f>'Table dégâts brute'!$D$237</x:f>
        <x:v>75</x:v>
      </x:c>
      <x:c r="I212" s="64" t="n">
        <x:f>'Table dégâts brute'!$E$237</x:f>
        <x:v>1</x:v>
      </x:c>
      <x:c r="J212" s="64" t="n">
        <x:f>'Table dégâts brute'!$F$237</x:f>
        <x:v>3</x:v>
      </x:c>
      <x:c r="K212" s="61" t="str">
        <x:v>0x092A3520; niveau + 0xE7</x:v>
      </x:c>
      <x:c r="L212" s="61" t="str">
        <x:v>Courbe V1–V4 confirmée</x:v>
      </x:c>
      <x:c r="M212" s="61" t="str">
        <x:v>Élevée</x:v>
      </x:c>
      <x:c r="N212" s="61" t="str"/>
    </x:row>
    <x:row r="213">
      <x:c r="A213" s="55" t="str">
        <x:v>T.E.L.T.</x:v>
      </x:c>
      <x:c r="B213" s="55" t="str">
        <x:v>Roquette principale</x:v>
      </x:c>
      <x:c r="C213" s="55" t="n">
        <x:v>2</x:v>
      </x:c>
      <x:c r="D213" s="64" t="n">
        <x:v>232</x:v>
      </x:c>
      <x:c r="E213" s="55" t="str">
        <x:v>09405C4Ch</x:v>
      </x:c>
      <x:c r="F213" s="64" t="n">
        <x:f>'Table dégâts brute'!$B$238</x:f>
        <x:v>0</x:v>
      </x:c>
      <x:c r="G213" s="67" t="n">
        <x:f>'Table dégâts brute'!$C$238</x:f>
        <x:v>105</x:v>
      </x:c>
      <x:c r="H213" s="67" t="n">
        <x:f>'Table dégâts brute'!$D$238</x:f>
        <x:v>105</x:v>
      </x:c>
      <x:c r="I213" s="64" t="n">
        <x:f>'Table dégâts brute'!$E$238</x:f>
        <x:v>1</x:v>
      </x:c>
      <x:c r="J213" s="64" t="n">
        <x:f>'Table dégâts brute'!$F$238</x:f>
        <x:v>3</x:v>
      </x:c>
      <x:c r="K213" s="61" t="str">
        <x:v>0x092A3520; niveau + 0xE7</x:v>
      </x:c>
      <x:c r="L213" s="61" t="str">
        <x:v>Courbe V1–V4 confirmée</x:v>
      </x:c>
      <x:c r="M213" s="61" t="str">
        <x:v>Élevée</x:v>
      </x:c>
      <x:c r="N213" s="61" t="str"/>
    </x:row>
    <x:row r="214">
      <x:c r="A214" s="55" t="str">
        <x:v>T.E.L.T.</x:v>
      </x:c>
      <x:c r="B214" s="55" t="str">
        <x:v>Roquette principale</x:v>
      </x:c>
      <x:c r="C214" s="55" t="n">
        <x:v>3</x:v>
      </x:c>
      <x:c r="D214" s="64" t="n">
        <x:v>233</x:v>
      </x:c>
      <x:c r="E214" s="55" t="str">
        <x:v>09405C5Ch</x:v>
      </x:c>
      <x:c r="F214" s="64" t="n">
        <x:f>'Table dégâts brute'!$B$239</x:f>
        <x:v>0</x:v>
      </x:c>
      <x:c r="G214" s="67" t="n">
        <x:f>'Table dégâts brute'!$C$239</x:f>
        <x:v>150</x:v>
      </x:c>
      <x:c r="H214" s="67" t="n">
        <x:f>'Table dégâts brute'!$D$239</x:f>
        <x:v>150</x:v>
      </x:c>
      <x:c r="I214" s="64" t="n">
        <x:f>'Table dégâts brute'!$E$239</x:f>
        <x:v>1</x:v>
      </x:c>
      <x:c r="J214" s="64" t="n">
        <x:f>'Table dégâts brute'!$F$239</x:f>
        <x:v>3</x:v>
      </x:c>
      <x:c r="K214" s="61" t="str">
        <x:v>0x092A3520; niveau + 0xE7</x:v>
      </x:c>
      <x:c r="L214" s="61" t="str">
        <x:v>Courbe V1–V4 confirmée</x:v>
      </x:c>
      <x:c r="M214" s="61" t="str">
        <x:v>Élevée</x:v>
      </x:c>
      <x:c r="N214" s="61" t="str"/>
    </x:row>
    <x:row r="215">
      <x:c r="A215" s="55" t="str">
        <x:v>T.E.L.T.</x:v>
      </x:c>
      <x:c r="B215" s="55" t="str">
        <x:v>Roquette principale</x:v>
      </x:c>
      <x:c r="C215" s="55" t="n">
        <x:v>4</x:v>
      </x:c>
      <x:c r="D215" s="64" t="n">
        <x:v>234</x:v>
      </x:c>
      <x:c r="E215" s="55" t="str">
        <x:v>09405C6Ch</x:v>
      </x:c>
      <x:c r="F215" s="64" t="n">
        <x:f>'Table dégâts brute'!$B$240</x:f>
        <x:v>0</x:v>
      </x:c>
      <x:c r="G215" s="67" t="n">
        <x:f>'Table dégâts brute'!$C$240</x:f>
        <x:v>220</x:v>
      </x:c>
      <x:c r="H215" s="67" t="n">
        <x:f>'Table dégâts brute'!$D$240</x:f>
        <x:v>220</x:v>
      </x:c>
      <x:c r="I215" s="64" t="n">
        <x:f>'Table dégâts brute'!$E$240</x:f>
        <x:v>1</x:v>
      </x:c>
      <x:c r="J215" s="64" t="n">
        <x:f>'Table dégâts brute'!$F$240</x:f>
        <x:v>3</x:v>
      </x:c>
      <x:c r="K215" s="61" t="str">
        <x:v>0x092A3520; niveau + 0xE7</x:v>
      </x:c>
      <x:c r="L215" s="61" t="str">
        <x:v>Courbe V1–V4 confirmée</x:v>
      </x:c>
      <x:c r="M215" s="61" t="str">
        <x:v>Élevée</x:v>
      </x:c>
      <x:c r="N215" s="61" t="str"/>
    </x:row>
    <x:row r="216">
      <x:c r="A216" s="55" t="str">
        <x:v>T.E.L.T.</x:v>
      </x:c>
      <x:c r="B216" s="55" t="str">
        <x:v>Roquette alternative</x:v>
      </x:c>
      <x:c r="C216" s="55" t="n">
        <x:v>1</x:v>
      </x:c>
      <x:c r="D216" s="64" t="n">
        <x:v>235</x:v>
      </x:c>
      <x:c r="E216" s="55" t="str">
        <x:v>09405C7Ch</x:v>
      </x:c>
      <x:c r="F216" s="64" t="n">
        <x:f>'Table dégâts brute'!$B$241</x:f>
        <x:v>0</x:v>
      </x:c>
      <x:c r="G216" s="67" t="n">
        <x:f>'Table dégâts brute'!$C$241</x:f>
        <x:v>75</x:v>
      </x:c>
      <x:c r="H216" s="67" t="n">
        <x:f>'Table dégâts brute'!$D$241</x:f>
        <x:v>75</x:v>
      </x:c>
      <x:c r="I216" s="64" t="n">
        <x:f>'Table dégâts brute'!$E$241</x:f>
        <x:v>0</x:v>
      </x:c>
      <x:c r="J216" s="64" t="n">
        <x:f>'Table dégâts brute'!$F$241</x:f>
        <x:v>3</x:v>
      </x:c>
      <x:c r="K216" s="61" t="str">
        <x:v>Chaîne RynoRocket</x:v>
      </x:c>
      <x:c r="L216" s="61" t="str">
        <x:v>Courbe V1–V4 confirmée</x:v>
      </x:c>
      <x:c r="M216" s="61" t="str">
        <x:v>Élevée</x:v>
      </x:c>
      <x:c r="N216" s="61" t="str"/>
    </x:row>
    <x:row r="217">
      <x:c r="A217" s="55" t="str">
        <x:v>T.E.L.T.</x:v>
      </x:c>
      <x:c r="B217" s="55" t="str">
        <x:v>Roquette alternative</x:v>
      </x:c>
      <x:c r="C217" s="55" t="n">
        <x:v>2</x:v>
      </x:c>
      <x:c r="D217" s="64" t="n">
        <x:v>236</x:v>
      </x:c>
      <x:c r="E217" s="55" t="str">
        <x:v>09405C8Ch</x:v>
      </x:c>
      <x:c r="F217" s="64" t="n">
        <x:f>'Table dégâts brute'!$B$242</x:f>
        <x:v>0</x:v>
      </x:c>
      <x:c r="G217" s="67" t="n">
        <x:f>'Table dégâts brute'!$C$242</x:f>
        <x:v>105</x:v>
      </x:c>
      <x:c r="H217" s="67" t="n">
        <x:f>'Table dégâts brute'!$D$242</x:f>
        <x:v>105</x:v>
      </x:c>
      <x:c r="I217" s="64" t="n">
        <x:f>'Table dégâts brute'!$E$242</x:f>
        <x:v>0</x:v>
      </x:c>
      <x:c r="J217" s="64" t="n">
        <x:f>'Table dégâts brute'!$F$242</x:f>
        <x:v>3</x:v>
      </x:c>
      <x:c r="K217" s="61" t="str">
        <x:v>Chaîne RynoRocket</x:v>
      </x:c>
      <x:c r="L217" s="61" t="str">
        <x:v>Courbe V1–V4 confirmée</x:v>
      </x:c>
      <x:c r="M217" s="61" t="str">
        <x:v>Élevée</x:v>
      </x:c>
      <x:c r="N217" s="61" t="str"/>
    </x:row>
    <x:row r="218">
      <x:c r="A218" s="55" t="str">
        <x:v>T.E.L.T.</x:v>
      </x:c>
      <x:c r="B218" s="55" t="str">
        <x:v>Roquette alternative</x:v>
      </x:c>
      <x:c r="C218" s="55" t="n">
        <x:v>3</x:v>
      </x:c>
      <x:c r="D218" s="64" t="n">
        <x:v>237</x:v>
      </x:c>
      <x:c r="E218" s="55" t="str">
        <x:v>09405C9Ch</x:v>
      </x:c>
      <x:c r="F218" s="64" t="n">
        <x:f>'Table dégâts brute'!$B$243</x:f>
        <x:v>0</x:v>
      </x:c>
      <x:c r="G218" s="67" t="n">
        <x:f>'Table dégâts brute'!$C$243</x:f>
        <x:v>150</x:v>
      </x:c>
      <x:c r="H218" s="67" t="n">
        <x:f>'Table dégâts brute'!$D$243</x:f>
        <x:v>150</x:v>
      </x:c>
      <x:c r="I218" s="64" t="n">
        <x:f>'Table dégâts brute'!$E$243</x:f>
        <x:v>0</x:v>
      </x:c>
      <x:c r="J218" s="64" t="n">
        <x:f>'Table dégâts brute'!$F$243</x:f>
        <x:v>3</x:v>
      </x:c>
      <x:c r="K218" s="61" t="str">
        <x:v>Chaîne RynoRocket</x:v>
      </x:c>
      <x:c r="L218" s="61" t="str">
        <x:v>Courbe V1–V4 confirmée</x:v>
      </x:c>
      <x:c r="M218" s="61" t="str">
        <x:v>Élevée</x:v>
      </x:c>
      <x:c r="N218" s="61" t="str"/>
    </x:row>
    <x:row r="219">
      <x:c r="A219" s="55" t="str">
        <x:v>T.E.L.T.</x:v>
      </x:c>
      <x:c r="B219" s="55" t="str">
        <x:v>Roquette alternative</x:v>
      </x:c>
      <x:c r="C219" s="55" t="n">
        <x:v>4</x:v>
      </x:c>
      <x:c r="D219" s="64" t="n">
        <x:v>238</x:v>
      </x:c>
      <x:c r="E219" s="55" t="str">
        <x:v>09405CACh</x:v>
      </x:c>
      <x:c r="F219" s="64" t="n">
        <x:f>'Table dégâts brute'!$B$244</x:f>
        <x:v>0</x:v>
      </x:c>
      <x:c r="G219" s="67" t="n">
        <x:f>'Table dégâts brute'!$C$244</x:f>
        <x:v>220</x:v>
      </x:c>
      <x:c r="H219" s="67" t="n">
        <x:f>'Table dégâts brute'!$D$244</x:f>
        <x:v>220</x:v>
      </x:c>
      <x:c r="I219" s="64" t="n">
        <x:f>'Table dégâts brute'!$E$244</x:f>
        <x:v>0</x:v>
      </x:c>
      <x:c r="J219" s="64" t="n">
        <x:f>'Table dégâts brute'!$F$244</x:f>
        <x:v>3</x:v>
      </x:c>
      <x:c r="K219" s="61" t="str">
        <x:v>Chaîne RynoRocket</x:v>
      </x:c>
      <x:c r="L219" s="61" t="str">
        <x:v>Courbe V1–V4 confirmée</x:v>
      </x:c>
      <x:c r="M219" s="61" t="str">
        <x:v>Élevée</x:v>
      </x:c>
      <x:c r="N219" s="61" t="str"/>
    </x:row>
    <x:row r="220">
      <x:c r="A220" s="56" t="str">
        <x:v>T.E.L.T.</x:v>
      </x:c>
      <x:c r="B220" s="56" t="str">
        <x:v>Explosion fixe</x:v>
      </x:c>
      <x:c r="C220" s="56" t="str">
        <x:v>—</x:v>
      </x:c>
      <x:c r="D220" s="65" t="n">
        <x:v>239</x:v>
      </x:c>
      <x:c r="E220" s="56" t="str">
        <x:v>09405CBCh</x:v>
      </x:c>
      <x:c r="F220" s="65" t="n">
        <x:f>'Table dégâts brute'!$B$245</x:f>
        <x:v>0</x:v>
      </x:c>
      <x:c r="G220" s="68" t="n">
        <x:f>'Table dégâts brute'!$C$245</x:f>
        <x:v>800</x:v>
      </x:c>
      <x:c r="H220" s="68" t="n">
        <x:f>'Table dégâts brute'!$D$245</x:f>
        <x:v>800</x:v>
      </x:c>
      <x:c r="I220" s="65" t="n">
        <x:f>'Table dégâts brute'!$E$245</x:f>
        <x:v>11</x:v>
      </x:c>
      <x:c r="J220" s="65" t="n">
        <x:f>'Table dégâts brute'!$F$245</x:f>
        <x:v>3</x:v>
      </x:c>
      <x:c r="K220" s="62" t="str">
        <x:v>0x092A2664; index 0xEF</x:v>
      </x:c>
      <x:c r="L220" s="62" t="str">
        <x:v>Entrée fixe confirmée</x:v>
      </x:c>
      <x:c r="M220" s="62" t="str">
        <x:v>Élevée</x:v>
      </x:c>
      <x:c r="N220" s="62" t="str"/>
    </x:row>
  </x:sheetData>
  <x:mergeCells>
    <x:mergeCell ref="A1:N1"/>
    <x:mergeCell ref="A2:N2"/>
  </x:mergeCells>
  <x:conditionalFormatting sqref="M6:M220">
    <x:cfRule type="containsText" dxfId="6" priority="1" operator="containsText" text="Élevée"/>
    <x:cfRule type="containsText" dxfId="7" priority="2" operator="containsText" text="Moyenne"/>
    <x:cfRule type="containsText" dxfId="8" priority="3" operator="containsText" text="Faible"/>
  </x:conditionalFormatting>
  <x:pageMargins left="0.7" right="0.7" top="0.75" bottom="0.75" header="0.3" footer="0.3"/>
  <x:tableParts count="1">
    <x:tablePart xmlns:r="http://schemas.openxmlformats.org/officeDocument/2006/relationships" r:id="R73f4f3bb93774a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17" hidden="0" customWidth="1"/>
    <x:col min="4" max="4" width="15" hidden="0" customWidth="1"/>
    <x:col min="5" max="5" width="17" hidden="0" customWidth="1"/>
    <x:col min="6" max="6" width="17" hidden="0" customWidth="1"/>
    <x:col min="7" max="7" width="34" hidden="0" customWidth="1"/>
    <x:col min="8" max="8" width="38" hidden="0" customWidth="1"/>
    <x:col min="9" max="9" width="12" hidden="0" customWidth="1"/>
    <x:col min="10" max="10" width="11" hidden="0" customWidth="1"/>
    <x:col min="11" max="11" width="15" hidden="0" customWidth="1"/>
    <x:col min="12" max="12" width="28" hidden="0" customWidth="1"/>
  </x:cols>
  <x:sheetData>
    <x:row r="1" ht="32" customHeight="1">
      <x:c r="A1" s="3" t="str">
        <x:v>Timings, cooldowns et correctifs d’armes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Synthèse fonctionnelle puis liste exhaustive des écritures candidates du profil Pokitaru armes.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5" ht="30" customHeight="1">
      <x:c r="A5" s="47" t="str">
        <x:v>Arme</x:v>
      </x:c>
      <x:c r="B5" s="48" t="str">
        <x:v>Fonctions principales</x:v>
      </x:c>
      <x:c r="C5" s="48" t="str">
        <x:v>Mécanique</x:v>
      </x:c>
      <x:c r="D5" s="48" t="str">
        <x:v>Vanilla 30 FPS</x:v>
      </x:c>
      <x:c r="E5" s="48" t="str">
        <x:v>60 FPS socle sans fix</x:v>
      </x:c>
      <x:c r="F5" s="48" t="str">
        <x:v>Attendu avec patch</x:v>
      </x:c>
      <x:c r="G5" s="48" t="str">
        <x:v>Statut</x:v>
      </x:c>
      <x:c r="H5" s="49" t="str">
        <x:v>Notes</x:v>
      </x:c>
    </x:row>
    <x:row r="6">
      <x:c r="A6" s="54" t="str">
        <x:v>Lacérator</x:v>
      </x:c>
      <x:c r="B6" s="54" t="str">
        <x:v>0x09250700 / 0x09251E30</x:v>
      </x:c>
      <x:c r="C6" s="60" t="str">
        <x:v>Vitesse du projectile et âge</x:v>
      </x:c>
      <x:c r="D6" s="60" t="str">
        <x:v>Diviseur 30; âge +1/update</x:v>
      </x:c>
      <x:c r="E6" s="60" t="str">
        <x:v>Portée/vitesse et vieillissement ×2 en temps réel</x:v>
      </x:c>
      <x:c r="F6" s="60" t="str">
        <x:v>Diviseur 60; âge +0,5/update</x:v>
      </x:c>
      <x:c r="G6" s="60" t="str">
        <x:v>TEST statique</x:v>
      </x:c>
      <x:c r="H6" s="60" t="str">
        <x:v>Cooldown de tir principal non isolé dans cette passe.</x:v>
      </x:c>
    </x:row>
    <x:row r="7">
      <x:c r="A7" s="55" t="str">
        <x:v>Tremblator</x:v>
      </x:c>
      <x:c r="B7" s="55" t="str">
        <x:v>0x092542B0 / 0x09255EE8</x:v>
      </x:c>
      <x:c r="C7" s="61" t="str">
        <x:v>Âge/expansion de l’onde</x:v>
      </x:c>
      <x:c r="D7" s="61" t="str">
        <x:v>Âge +1/update</x:v>
      </x:c>
      <x:c r="E7" s="61" t="str">
        <x:v>Onde deux fois plus rapide/courte</x:v>
      </x:c>
      <x:c r="F7" s="61" t="str">
        <x:v>Âge +0,5/update</x:v>
      </x:c>
      <x:c r="G7" s="61" t="str">
        <x:v>TEST statique</x:v>
      </x:c>
      <x:c r="H7" s="61" t="str">
        <x:v>La durée maximale dépend d’une table de niveau.</x:v>
      </x:c>
    </x:row>
    <x:row r="8">
      <x:c r="A8" s="55" t="str">
        <x:v>Gant à Bombacide</x:v>
      </x:c>
      <x:c r="B8" s="55" t="str">
        <x:v>0x0925B4F4 / 0x09241234 / 0x09242708</x:v>
      </x:c>
      <x:c r="C8" s="61" t="str">
        <x:v>Balistique, gravité, fusibles</x:v>
      </x:c>
      <x:c r="D8" s="61" t="str">
        <x:v>Déplacement et gravité fixes; fusibles delta-based</x:v>
      </x:c>
      <x:c r="E8" s="61" t="str">
        <x:v>Trajectoire accélérée/déformée; fusibles proches du vanilla</x:v>
      </x:c>
      <x:c r="F8" s="61" t="str">
        <x:v>Demi-pas balistique spécialisé</x:v>
      </x:c>
      <x:c r="G8" s="61" t="str">
        <x:v>EXPÉRIMENTAL</x:v>
      </x:c>
      <x:c r="H8" s="61" t="str">
        <x:v>Ne pas diviser les fusibles déjà fondés sur le delta.</x:v>
      </x:c>
    </x:row>
    <x:row r="9">
      <x:c r="A9" s="55" t="str">
        <x:v>Agents Ravageurs</x:v>
      </x:c>
      <x:c r="B9" s="55" t="str">
        <x:v>0x09242ED0 / 0x092436BC / 0x09249A58</x:v>
      </x:c>
      <x:c r="C9" s="61" t="str">
        <x:v>Vie agents, gant, grenade et roquette</x:v>
      </x:c>
      <x:c r="D9" s="61" t="str">
        <x:v>Compteurs −1; états 60; roquette 2,0 et 1/30</x:v>
      </x:c>
      <x:c r="E9" s="61" t="str">
        <x:v>Durées divisées par deux et projectiles trop rapides</x:v>
      </x:c>
      <x:c r="F9" s="61" t="str">
        <x:v>Pas −0,5; seuils ×2; vitesse ÷2; 1/60</x:v>
      </x:c>
      <x:c r="G9" s="61" t="str">
        <x:v>EXPÉRIMENTAL</x:v>
      </x:c>
      <x:c r="H9" s="61" t="str">
        <x:v>Plusieurs sous-entités indépendantes.</x:v>
      </x:c>
    </x:row>
    <x:row r="10">
      <x:c r="A10" s="55" t="str">
        <x:v>Gant Mine Abeille</x:v>
      </x:c>
      <x:c r="B10" s="55" t="str">
        <x:v>0x0924F690 / 0x0924DB00</x:v>
      </x:c>
      <x:c r="C10" s="61" t="str">
        <x:v>Âge, déplacement, braquage, fondu</x:v>
      </x:c>
      <x:c r="D10" s="61" t="str">
        <x:v>Timer +1 jusqu’à 1800 = 60 s; pas ≈1/90</x:v>
      </x:c>
      <x:c r="E10" s="61" t="str">
        <x:v>1800 updates = 30 s</x:v>
      </x:c>
      <x:c r="F10" s="61" t="str">
        <x:v>Âge +0,5; pas ≈1/180; angles ÷2</x:v>
      </x:c>
      <x:c r="G10" s="61" t="str">
        <x:v>EXPÉRIMENTAL</x:v>
      </x:c>
      <x:c r="H10" s="61" t="str">
        <x:v>Le fondu 17→8,5 est encore candidat.</x:v>
      </x:c>
    </x:row>
    <x:row r="11">
      <x:c r="A11" s="55" t="str">
        <x:v>Barrière Statique</x:v>
      </x:c>
      <x:c r="B11" s="55" t="str">
        <x:v>0x092A6878 / 0x092A707C / 0x092A8F28</x:v>
      </x:c>
      <x:c r="C11" s="61" t="str">
        <x:v>Compteurs d’état et énergie</x:v>
      </x:c>
      <x:c r="D11" s="61" t="str">
        <x:v>Compteurs −1; phase 1/30; drain déjà delta-based</x:v>
      </x:c>
      <x:c r="E11" s="61" t="str">
        <x:v>États deux fois plus courts; drain à préserver</x:v>
      </x:c>
      <x:c r="F11" s="61" t="str">
        <x:v>Compteurs −0,5; phase 1/60; seuil 120→240</x:v>
      </x:c>
      <x:c r="G11" s="61" t="str">
        <x:v>EXPÉRIMENTAL</x:v>
      </x:c>
      <x:c r="H11" s="61" t="str">
        <x:v>Le drain d’énergie n’est volontairement pas modifié.</x:v>
      </x:c>
    </x:row>
    <x:row r="12">
      <x:c r="A12" s="55" t="str">
        <x:v>Roquette Éclair</x:v>
      </x:c>
      <x:c r="B12" s="55" t="str">
        <x:v>0x092A9654 / 0x092AA820</x:v>
      </x:c>
      <x:c r="C12" s="61" t="str">
        <x:v>Cooldown, vitesse, guidage, durée</x:v>
      </x:c>
      <x:c r="D12" s="61" t="str">
        <x:v>Cooldown −1; vitesse 3; vies 15/60; angles π/40 et π/20</x:v>
      </x:c>
      <x:c r="E12" s="61" t="str">
        <x:v>Cooldown/vie divisés par deux; vol et guidage ×2</x:v>
      </x:c>
      <x:c r="F12" s="61" t="str">
        <x:v>Pas −0,5; vitesse 1,5; vies 30/120; angles ÷2</x:v>
      </x:c>
      <x:c r="G12" s="61" t="str">
        <x:v>EXPÉRIMENTAL</x:v>
      </x:c>
      <x:c r="H12" s="61" t="str">
        <x:v>Deux chemins de décrément sont patchés via caves.</x:v>
      </x:c>
    </x:row>
    <x:row r="13">
      <x:c r="A13" s="55" t="str">
        <x:v>Mine de Sniper</x:v>
      </x:c>
      <x:c r="B13" s="55" t="str">
        <x:v>0x09264F54 / 0x09266AEC</x:v>
      </x:c>
      <x:c r="C13" s="61" t="str">
        <x:v>États, armement et durée</x:v>
      </x:c>
      <x:c r="D13" s="61" t="str">
        <x:v>Timers ±1/update</x:v>
      </x:c>
      <x:c r="E13" s="61" t="str">
        <x:v>États deux fois plus rapides</x:v>
      </x:c>
      <x:c r="F13" s="61" t="str">
        <x:v>Pas ±0,5/update</x:v>
      </x:c>
      <x:c r="G13" s="61" t="str">
        <x:v>EXPÉRIMENTAL</x:v>
      </x:c>
      <x:c r="H13" s="61" t="str">
        <x:v>Déplacement laissé au socle tant qu’il n’est pas mesuré.</x:v>
      </x:c>
    </x:row>
    <x:row r="14">
      <x:c r="A14" s="55" t="str">
        <x:v>Incinérator</x:v>
      </x:c>
      <x:c r="B14" s="55" t="str">
        <x:v>092755F0h</x:v>
      </x:c>
      <x:c r="C14" s="61" t="str">
        <x:v>Munitions et cadence de dégâts</x:v>
      </x:c>
      <x:c r="D14" s="61" t="str">
        <x:v>Période 15 updates = 0,5 s; hit scan modulo 3 = 10/s</x:v>
      </x:c>
      <x:c r="E14" s="61" t="str">
        <x:v>0,25 s et 20 scans/s</x:v>
      </x:c>
      <x:c r="F14" s="61" t="str">
        <x:v>Accumulateur +0,5; modulo 6</x:v>
      </x:c>
      <x:c r="G14" s="61" t="str">
        <x:v>EXPÉRIMENTAL</x:v>
      </x:c>
      <x:c r="H14" s="61" t="str">
        <x:v>Préserve mieux XP et réactions de hit qu’une division des dégâts.</x:v>
      </x:c>
    </x:row>
    <x:row r="15">
      <x:c r="A15" s="55" t="str">
        <x:v>Pisteur Laser</x:v>
      </x:c>
      <x:c r="B15" s="55" t="str">
        <x:v>092829ECh</x:v>
      </x:c>
      <x:c r="C15" s="61" t="str">
        <x:v>Compteur privé et phases du rayon</x:v>
      </x:c>
      <x:c r="D15" s="61" t="str">
        <x:v>Décrément −1; dénominateurs 15 et 6</x:v>
      </x:c>
      <x:c r="E15" s="61" t="str">
        <x:v>Compteur et phases ×2</x:v>
      </x:c>
      <x:c r="F15" s="61" t="str">
        <x:v>Décrément −0,5; dénominateurs 30 et 12</x:v>
      </x:c>
      <x:c r="G15" s="61" t="str">
        <x:v>EXPÉRIMENTAL</x:v>
      </x:c>
      <x:c r="H15" s="61" t="str">
        <x:v>Cadence exacte de collision/DPS à valider en jeu.</x:v>
      </x:c>
    </x:row>
    <x:row r="16">
      <x:c r="A16" s="55" t="str">
        <x:v>Aspiro-Canon</x:v>
      </x:c>
      <x:c r="B16" s="55" t="str">
        <x:v>0x092AFFA8 / 0x092B164C / 0x092D4AF4</x:v>
      </x:c>
      <x:c r="C16" s="61" t="str">
        <x:v>Trois timers, rangement, projectile</x:v>
      </x:c>
      <x:c r="D16" s="61" t="str">
        <x:v>Timers −1; interpolation 0,15; vie comète 30</x:v>
      </x:c>
      <x:c r="E16" s="61" t="str">
        <x:v>Aspiration/rangement et vie ×2</x:v>
      </x:c>
      <x:c r="F16" s="61" t="str">
        <x:v>Timers −0,5; 0,075; vie 60; vitesse ÷2</x:v>
      </x:c>
      <x:c r="G16" s="61" t="str">
        <x:v>EXPÉRIMENTAL</x:v>
      </x:c>
      <x:c r="H16" s="61" t="str">
        <x:v>Le projectile peut représenter un objet ou ennemi capturé.</x:v>
      </x:c>
    </x:row>
    <x:row r="17">
      <x:c r="A17" s="55" t="str">
        <x:v>Bovinator</x:v>
      </x:c>
      <x:c r="B17" s="55" t="str">
        <x:v>09294064h</x:v>
      </x:c>
      <x:c r="C17" s="61" t="str">
        <x:v>Progression de transformation</x:v>
      </x:c>
      <x:c r="D17" s="61" t="str">
        <x:v>Pas 1/135, 1/90, 1/60, 1/30</x:v>
      </x:c>
      <x:c r="E17" s="61" t="str">
        <x:v>Temps réels divisés par deux</x:v>
      </x:c>
      <x:c r="F17" s="61" t="str">
        <x:v>Chaque pas ÷2</x:v>
      </x:c>
      <x:c r="G17" s="61" t="str">
        <x:v>EXPÉRIMENTAL</x:v>
      </x:c>
      <x:c r="H17" s="61" t="str">
        <x:v>Durées vanilla approximatives : 4,5 / 3 / 2 / 1 s aux premiers niveaux.</x:v>
      </x:c>
    </x:row>
    <x:row r="18">
      <x:c r="A18" s="56" t="str">
        <x:v>T.E.L.T.</x:v>
      </x:c>
      <x:c r="B18" s="56" t="str">
        <x:v>0x092A2928 / 0x092A3398</x:v>
      </x:c>
      <x:c r="C18" s="62" t="str">
        <x:v>Salve, âge, vitesse et braquage</x:v>
      </x:c>
      <x:c r="D18" s="62" t="str">
        <x:v>Salve −1; âge +1; vitesse 0,6; angles fixes</x:v>
      </x:c>
      <x:c r="E18" s="62" t="str">
        <x:v>Salves/vie/vol/guidage ×2</x:v>
      </x:c>
      <x:c r="F18" s="62" t="str">
        <x:v>Pas ±0,5; vitesse 0,3; angles ÷2</x:v>
      </x:c>
      <x:c r="G18" s="62" t="str">
        <x:v>EXPÉRIMENTAL</x:v>
      </x:c>
      <x:c r="H18" s="62" t="str">
        <x:v>Quatre niveaux seulement dans la table d’économie.</x:v>
      </x:c>
    </x:row>
    <x:row r="21">
      <x:c r="A21" s="9" t="str">
        <x:v>Écritures exactes du manifeste de test</x:v>
      </x:c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</x:row>
    <x:row r="22" ht="30" customHeight="1">
      <x:c r="A22" s="47" t="str">
        <x:v>Arme</x:v>
      </x:c>
      <x:c r="B22" s="48" t="str">
        <x:v>Résumé</x:v>
      </x:c>
      <x:c r="C22" s="48" t="str">
        <x:v>Adresse</x:v>
      </x:c>
      <x:c r="D22" s="48" t="str">
        <x:v>Relatif PRX</x:v>
      </x:c>
      <x:c r="E22" s="48" t="str">
        <x:v>Opcode vanilla</x:v>
      </x:c>
      <x:c r="F22" s="48" t="str">
        <x:v>Opcode patché</x:v>
      </x:c>
      <x:c r="G22" s="48" t="str">
        <x:v>Instruction / valeur</x:v>
      </x:c>
      <x:c r="H22" s="48" t="str">
        <x:v>Raison</x:v>
      </x:c>
      <x:c r="I22" s="48" t="str">
        <x:v>Type</x:v>
      </x:c>
      <x:c r="J22" s="48" t="str">
        <x:v>Optionnel</x:v>
      </x:c>
      <x:c r="K22" s="48" t="str">
        <x:v>Statut manifeste</x:v>
      </x:c>
      <x:c r="L22" s="49" t="str">
        <x:v>CWCheat</x:v>
      </x:c>
    </x:row>
    <x:row r="23">
      <x:c r="A23" s="60" t="str">
        <x:v>Lacérator / Blaster</x:v>
      </x:c>
      <x:c r="B23" s="60" t="str">
        <x:v>Projectile : vitesse ÷2 et âge +0,5/update.</x:v>
      </x:c>
      <x:c r="C23" s="60" t="str">
        <x:v>09251870h</x:v>
      </x:c>
      <x:c r="D23" s="60" t="str">
        <x:v>00117B70h</x:v>
      </x:c>
      <x:c r="E23" s="60" t="str">
        <x:v>3C0641F0h</x:v>
      </x:c>
      <x:c r="F23" s="60" t="str">
        <x:v>3C064270h</x:v>
      </x:c>
      <x:c r="G23" s="60" t="str">
        <x:v>lui a2,30.0 → lui a2,60.0</x:v>
      </x:c>
      <x:c r="H23" s="60" t="str">
        <x:v>Le code divise le vecteur par ce dénominateur.</x:v>
      </x:c>
      <x:c r="I23" s="60" t="str">
        <x:v>code</x:v>
      </x:c>
      <x:c r="J23" s="60" t="str">
        <x:v>Non</x:v>
      </x:c>
      <x:c r="K23" s="60" t="str">
        <x:v>statically verified; requires in-game validation</x:v>
      </x:c>
      <x:c r="L23" s="60" t="str">
        <x:v>_L 0x20A51870 0x3C064270</x:v>
      </x:c>
    </x:row>
    <x:row r="24">
      <x:c r="A24" s="61" t="str">
        <x:v>Lacérator / Blaster</x:v>
      </x:c>
      <x:c r="B24" s="61" t="str">
        <x:v>Projectile : vitesse ÷2 et âge +0,5/update.</x:v>
      </x:c>
      <x:c r="C24" s="61" t="str">
        <x:v>09251E44h</x:v>
      </x:c>
      <x:c r="D24" s="61" t="str">
        <x:v>00118144h</x:v>
      </x:c>
      <x:c r="E24" s="61" t="str">
        <x:v>3C053F80h</x:v>
      </x:c>
      <x:c r="F24" s="61" t="str">
        <x:v>3C053F00h</x:v>
      </x:c>
      <x:c r="G24" s="61" t="str">
        <x:v>lui a1,1.0 → lui a1,0.5</x:v>
      </x:c>
      <x:c r="H24" s="61" t="str">
        <x:v>Âge/durée par update.</x:v>
      </x:c>
      <x:c r="I24" s="61" t="str">
        <x:v>code</x:v>
      </x:c>
      <x:c r="J24" s="61" t="str">
        <x:v>Non</x:v>
      </x:c>
      <x:c r="K24" s="61" t="str">
        <x:v>statically verified; requires in-game validation</x:v>
      </x:c>
      <x:c r="L24" s="61" t="str">
        <x:v>_L 0x20A51E44 0x3C053F00</x:v>
      </x:c>
    </x:row>
    <x:row r="25">
      <x:c r="A25" s="61" t="str">
        <x:v>Tremblator / Concussion Gun</x:v>
      </x:c>
      <x:c r="B25" s="61" t="str">
        <x:v>Onde : âge +0,5/update.</x:v>
      </x:c>
      <x:c r="C25" s="61" t="str">
        <x:v>09255EF0h</x:v>
      </x:c>
      <x:c r="D25" s="61" t="str">
        <x:v>0011C1F0h</x:v>
      </x:c>
      <x:c r="E25" s="61" t="str">
        <x:v>3C053F80h</x:v>
      </x:c>
      <x:c r="F25" s="61" t="str">
        <x:v>3C053F00h</x:v>
      </x:c>
      <x:c r="G25" s="61" t="str">
        <x:v>lui a1,1.0 → lui a1,0.5</x:v>
      </x:c>
      <x:c r="H25" s="61" t="str">
        <x:v>Âge de l’onde.</x:v>
      </x:c>
      <x:c r="I25" s="61" t="str">
        <x:v>code</x:v>
      </x:c>
      <x:c r="J25" s="61" t="str">
        <x:v>Non</x:v>
      </x:c>
      <x:c r="K25" s="61" t="str">
        <x:v>statically verified; requires in-game validation</x:v>
      </x:c>
      <x:c r="L25" s="61" t="str">
        <x:v>_L 0x20A55EF0 0x3C053F00</x:v>
      </x:c>
    </x:row>
    <x:row r="26">
      <x:c r="A26" s="61" t="str">
        <x:v>Gant à Bombacide / Acid Bomb Glove</x:v>
      </x:c>
      <x:c r="B26" s="61" t="str">
        <x:v>Balistique : déplacement ×0,5, gravité stockée ×0,5 ; fusibles delta-based laissés intacts.</x:v>
      </x:c>
      <x:c r="C26" s="61" t="str">
        <x:v>0924138Ch</x:v>
      </x:c>
      <x:c r="D26" s="61" t="str">
        <x:v>0010768Ch</x:v>
      </x:c>
      <x:c r="E26" s="61" t="str">
        <x:v>460F6300h</x:v>
      </x:c>
      <x:c r="F26" s="61" t="str">
        <x:v>0A200B00h</x:v>
      </x:c>
      <x:c r="G26" s="61" t="str">
        <x:v>add.s f12,f12,f15 → j cave</x:v>
      </x:c>
      <x:c r="H26" s="61" t="str">
        <x:v>Entrée de la cave balistique.</x:v>
      </x:c>
      <x:c r="I26" s="61" t="str">
        <x:v>hook</x:v>
      </x:c>
      <x:c r="J26" s="61" t="str">
        <x:v>Non</x:v>
      </x:c>
      <x:c r="K26" s="61" t="str">
        <x:v>statically verified; requires in-game validation</x:v>
      </x:c>
      <x:c r="L26" s="61" t="str">
        <x:v>_L 0x20A4138C 0x0A200B00</x:v>
      </x:c>
    </x:row>
    <x:row r="27">
      <x:c r="A27" s="61" t="str">
        <x:v>Gant à Bombacide / Acid Bomb Glove</x:v>
      </x:c>
      <x:c r="B27" s="61" t="str">
        <x:v>Balistique : déplacement ×0,5, gravité stockée ×0,5 ; fusibles delta-based laissés intacts.</x:v>
      </x:c>
      <x:c r="C27" s="61" t="str">
        <x:v>09241390h</x:v>
      </x:c>
      <x:c r="D27" s="61" t="str">
        <x:v>00107690h</x:v>
      </x:c>
      <x:c r="E27" s="61" t="str">
        <x:v>E60C0030h</x:v>
      </x:c>
      <x:c r="F27" s="61" t="str">
        <x:v>00000000h</x:v>
      </x:c>
      <x:c r="G27" s="61" t="str">
        <x:v>swc1 f12,0x30(s0) → nop</x:v>
      </x:c>
      <x:c r="H27" s="61" t="str">
        <x:v>Delay slot neutralisé.</x:v>
      </x:c>
      <x:c r="I27" s="61" t="str">
        <x:v>hook</x:v>
      </x:c>
      <x:c r="J27" s="61" t="str">
        <x:v>Non</x:v>
      </x:c>
      <x:c r="K27" s="61" t="str">
        <x:v>statically verified; requires in-game validation</x:v>
      </x:c>
      <x:c r="L27" s="61" t="str">
        <x:v>_L 0x20A41390 0x00000000</x:v>
      </x:c>
    </x:row>
    <x:row r="28">
      <x:c r="A28" s="61" t="str">
        <x:v>Agents Ravageurs / Agents of Doom</x:v>
      </x:c>
      <x:c r="B28" s="61" t="str">
        <x:v>Timers des agents/gant/grenade, balistique grenade, vitesse et temps de la roquette.</x:v>
      </x:c>
      <x:c r="C28" s="61" t="str">
        <x:v>092436E0h</x:v>
      </x:c>
      <x:c r="D28" s="61" t="str">
        <x:v>001099E0h</x:v>
      </x:c>
      <x:c r="E28" s="61" t="str">
        <x:v>3C06BF80h</x:v>
      </x:c>
      <x:c r="F28" s="61" t="str">
        <x:v>3C06BF00h</x:v>
      </x:c>
      <x:c r="G28" s="61" t="str">
        <x:v>lui a2,-1.0 → -0.5</x:v>
      </x:c>
      <x:c r="H28" s="61" t="str">
        <x:v>Vie agent, chemin A.</x:v>
      </x:c>
      <x:c r="I28" s="61" t="str">
        <x:v>code</x:v>
      </x:c>
      <x:c r="J28" s="61" t="str">
        <x:v>Non</x:v>
      </x:c>
      <x:c r="K28" s="61" t="str">
        <x:v>statically verified; requires in-game validation</x:v>
      </x:c>
      <x:c r="L28" s="61" t="str">
        <x:v>_L 0x20A436E0 0x3C06BF00</x:v>
      </x:c>
    </x:row>
    <x:row r="29">
      <x:c r="A29" s="61" t="str">
        <x:v>Agents Ravageurs / Agents of Doom</x:v>
      </x:c>
      <x:c r="B29" s="61" t="str">
        <x:v>Timers des agents/gant/grenade, balistique grenade, vitesse et temps de la roquette.</x:v>
      </x:c>
      <x:c r="C29" s="61" t="str">
        <x:v>092436FCh</x:v>
      </x:c>
      <x:c r="D29" s="61" t="str">
        <x:v>001099FCh</x:v>
      </x:c>
      <x:c r="E29" s="61" t="str">
        <x:v>3C06BF80h</x:v>
      </x:c>
      <x:c r="F29" s="61" t="str">
        <x:v>3C06BF00h</x:v>
      </x:c>
      <x:c r="G29" s="61" t="str">
        <x:v>lui a2,-1.0 → -0.5</x:v>
      </x:c>
      <x:c r="H29" s="61" t="str">
        <x:v>Vie agent, chemin B.</x:v>
      </x:c>
      <x:c r="I29" s="61" t="str">
        <x:v>code</x:v>
      </x:c>
      <x:c r="J29" s="61" t="str">
        <x:v>Non</x:v>
      </x:c>
      <x:c r="K29" s="61" t="str">
        <x:v>statically verified; requires in-game validation</x:v>
      </x:c>
      <x:c r="L29" s="61" t="str">
        <x:v>_L 0x20A436FC 0x3C06BF00</x:v>
      </x:c>
    </x:row>
    <x:row r="30">
      <x:c r="A30" s="61" t="str">
        <x:v>Agents Ravageurs / Agents of Doom</x:v>
      </x:c>
      <x:c r="B30" s="61" t="str">
        <x:v>Timers des agents/gant/grenade, balistique grenade, vitesse et temps de la roquette.</x:v>
      </x:c>
      <x:c r="C30" s="61" t="str">
        <x:v>09406BC8h</x:v>
      </x:c>
      <x:c r="D30" s="61" t="str">
        <x:v>002CCEC8h</x:v>
      </x:c>
      <x:c r="E30" s="61" t="str">
        <x:v>42700000h</x:v>
      </x:c>
      <x:c r="F30" s="61" t="str">
        <x:v>42F00000h</x:v>
      </x:c>
      <x:c r="G30" s="61" t="str">
        <x:v>float 60 → 120</x:v>
      </x:c>
      <x:c r="H30" s="61" t="str">
        <x:v>Compteur d’état agent.</x:v>
      </x:c>
      <x:c r="I30" s="61" t="str">
        <x:v>data</x:v>
      </x:c>
      <x:c r="J30" s="61" t="str">
        <x:v>Non</x:v>
      </x:c>
      <x:c r="K30" s="61" t="str">
        <x:v>statically verified; requires in-game validation</x:v>
      </x:c>
      <x:c r="L30" s="61" t="str">
        <x:v>_L 0x20C06BC8 0x42F00000</x:v>
      </x:c>
    </x:row>
    <x:row r="31">
      <x:c r="A31" s="61" t="str">
        <x:v>Agents Ravageurs / Agents of Doom</x:v>
      </x:c>
      <x:c r="B31" s="61" t="str">
        <x:v>Timers des agents/gant/grenade, balistique grenade, vitesse et temps de la roquette.</x:v>
      </x:c>
      <x:c r="C31" s="61" t="str">
        <x:v>09406BCCh</x:v>
      </x:c>
      <x:c r="D31" s="61" t="str">
        <x:v>002CCECCh</x:v>
      </x:c>
      <x:c r="E31" s="61" t="str">
        <x:v>42700000h</x:v>
      </x:c>
      <x:c r="F31" s="61" t="str">
        <x:v>42F00000h</x:v>
      </x:c>
      <x:c r="G31" s="61" t="str">
        <x:v>float 60 → 120</x:v>
      </x:c>
      <x:c r="H31" s="61" t="str">
        <x:v>Compteur d’état agent.</x:v>
      </x:c>
      <x:c r="I31" s="61" t="str">
        <x:v>data</x:v>
      </x:c>
      <x:c r="J31" s="61" t="str">
        <x:v>Non</x:v>
      </x:c>
      <x:c r="K31" s="61" t="str">
        <x:v>statically verified; requires in-game validation</x:v>
      </x:c>
      <x:c r="L31" s="61" t="str">
        <x:v>_L 0x20C06BCC 0x42F00000</x:v>
      </x:c>
    </x:row>
    <x:row r="32">
      <x:c r="A32" s="61" t="str">
        <x:v>Agents Ravageurs / Agents of Doom</x:v>
      </x:c>
      <x:c r="B32" s="61" t="str">
        <x:v>Timers des agents/gant/grenade, balistique grenade, vitesse et temps de la roquette.</x:v>
      </x:c>
      <x:c r="C32" s="61" t="str">
        <x:v>09249AE8h</x:v>
      </x:c>
      <x:c r="D32" s="61" t="str">
        <x:v>0010FDE8h</x:v>
      </x:c>
      <x:c r="E32" s="61" t="str">
        <x:v>3C04BF80h</x:v>
      </x:c>
      <x:c r="F32" s="61" t="str">
        <x:v>3C04BF00h</x:v>
      </x:c>
      <x:c r="G32" s="61" t="str">
        <x:v>lui a0,-1.0 → -0.5</x:v>
      </x:c>
      <x:c r="H32" s="61" t="str">
        <x:v>Compteur gant +0x40.</x:v>
      </x:c>
      <x:c r="I32" s="61" t="str">
        <x:v>code</x:v>
      </x:c>
      <x:c r="J32" s="61" t="str">
        <x:v>Non</x:v>
      </x:c>
      <x:c r="K32" s="61" t="str">
        <x:v>statically verified; requires in-game validation</x:v>
      </x:c>
      <x:c r="L32" s="61" t="str">
        <x:v>_L 0x20A49AE8 0x3C04BF00</x:v>
      </x:c>
    </x:row>
    <x:row r="33">
      <x:c r="A33" s="61" t="str">
        <x:v>Agents Ravageurs / Agents of Doom</x:v>
      </x:c>
      <x:c r="B33" s="61" t="str">
        <x:v>Timers des agents/gant/grenade, balistique grenade, vitesse et temps de la roquette.</x:v>
      </x:c>
      <x:c r="C33" s="61" t="str">
        <x:v>09249D50h</x:v>
      </x:c>
      <x:c r="D33" s="61" t="str">
        <x:v>00110050h</x:v>
      </x:c>
      <x:c r="E33" s="61" t="str">
        <x:v>3C04BF80h</x:v>
      </x:c>
      <x:c r="F33" s="61" t="str">
        <x:v>3C04BF00h</x:v>
      </x:c>
      <x:c r="G33" s="61" t="str">
        <x:v>lui a0,-1.0 → -0.5</x:v>
      </x:c>
      <x:c r="H33" s="61" t="str">
        <x:v>Compteur gant +0x14.</x:v>
      </x:c>
      <x:c r="I33" s="61" t="str">
        <x:v>code</x:v>
      </x:c>
      <x:c r="J33" s="61" t="str">
        <x:v>Non</x:v>
      </x:c>
      <x:c r="K33" s="61" t="str">
        <x:v>statically verified; requires in-game validation</x:v>
      </x:c>
      <x:c r="L33" s="61" t="str">
        <x:v>_L 0x20A49D50 0x3C04BF00</x:v>
      </x:c>
    </x:row>
    <x:row r="34">
      <x:c r="A34" s="61" t="str">
        <x:v>Agents Ravageurs / Agents of Doom</x:v>
      </x:c>
      <x:c r="B34" s="61" t="str">
        <x:v>Timers des agents/gant/grenade, balistique grenade, vitesse et temps de la roquette.</x:v>
      </x:c>
      <x:c r="C34" s="61" t="str">
        <x:v>0924A4D4h</x:v>
      </x:c>
      <x:c r="D34" s="61" t="str">
        <x:v>001107D4h</x:v>
      </x:c>
      <x:c r="E34" s="61" t="str">
        <x:v>3C05BF80h</x:v>
      </x:c>
      <x:c r="F34" s="61" t="str">
        <x:v>3C05BF00h</x:v>
      </x:c>
      <x:c r="G34" s="61" t="str">
        <x:v>lui a1,-1.0 → -0.5</x:v>
      </x:c>
      <x:c r="H34" s="61" t="str">
        <x:v>Âge grenade.</x:v>
      </x:c>
      <x:c r="I34" s="61" t="str">
        <x:v>code</x:v>
      </x:c>
      <x:c r="J34" s="61" t="str">
        <x:v>Non</x:v>
      </x:c>
      <x:c r="K34" s="61" t="str">
        <x:v>statically verified; requires in-game validation</x:v>
      </x:c>
      <x:c r="L34" s="61" t="str">
        <x:v>_L 0x20A4A4D4 0x3C05BF00</x:v>
      </x:c>
    </x:row>
    <x:row r="35">
      <x:c r="A35" s="61" t="str">
        <x:v>Agents Ravageurs / Agents of Doom</x:v>
      </x:c>
      <x:c r="B35" s="61" t="str">
        <x:v>Timers des agents/gant/grenade, balistique grenade, vitesse et temps de la roquette.</x:v>
      </x:c>
      <x:c r="C35" s="61" t="str">
        <x:v>0924A748h</x:v>
      </x:c>
      <x:c r="D35" s="61" t="str">
        <x:v>00110A48h</x:v>
      </x:c>
      <x:c r="E35" s="61" t="str">
        <x:v>460D6300h</x:v>
      </x:c>
      <x:c r="F35" s="61" t="str">
        <x:v>0A200B20h</x:v>
      </x:c>
      <x:c r="G35" s="61" t="str">
        <x:v>add.s f12,f12,f13 → j cave</x:v>
      </x:c>
      <x:c r="H35" s="61" t="str">
        <x:v>Entrée balistique grenade.</x:v>
      </x:c>
      <x:c r="I35" s="61" t="str">
        <x:v>hook</x:v>
      </x:c>
      <x:c r="J35" s="61" t="str">
        <x:v>Non</x:v>
      </x:c>
      <x:c r="K35" s="61" t="str">
        <x:v>statically verified; requires in-game validation</x:v>
      </x:c>
      <x:c r="L35" s="61" t="str">
        <x:v>_L 0x20A4A748 0x0A200B20</x:v>
      </x:c>
    </x:row>
    <x:row r="36">
      <x:c r="A36" s="61" t="str">
        <x:v>Agents Ravageurs / Agents of Doom</x:v>
      </x:c>
      <x:c r="B36" s="61" t="str">
        <x:v>Timers des agents/gant/grenade, balistique grenade, vitesse et temps de la roquette.</x:v>
      </x:c>
      <x:c r="C36" s="61" t="str">
        <x:v>0924A74Ch</x:v>
      </x:c>
      <x:c r="D36" s="61" t="str">
        <x:v>00110A4Ch</x:v>
      </x:c>
      <x:c r="E36" s="61" t="str">
        <x:v>E62C0004h</x:v>
      </x:c>
      <x:c r="F36" s="61" t="str">
        <x:v>00000000h</x:v>
      </x:c>
      <x:c r="G36" s="61" t="str">
        <x:v>swc1 f12,4(s1) → nop</x:v>
      </x:c>
      <x:c r="H36" s="61" t="str">
        <x:v>Delay slot neutralisé.</x:v>
      </x:c>
      <x:c r="I36" s="61" t="str">
        <x:v>hook</x:v>
      </x:c>
      <x:c r="J36" s="61" t="str">
        <x:v>Non</x:v>
      </x:c>
      <x:c r="K36" s="61" t="str">
        <x:v>statically verified; requires in-game validation</x:v>
      </x:c>
      <x:c r="L36" s="61" t="str">
        <x:v>_L 0x20A4A74C 0x00000000</x:v>
      </x:c>
    </x:row>
    <x:row r="37">
      <x:c r="A37" s="61" t="str">
        <x:v>Agents Ravageurs / Agents of Doom</x:v>
      </x:c>
      <x:c r="B37" s="61" t="str">
        <x:v>Timers des agents/gant/grenade, balistique grenade, vitesse et temps de la roquette.</x:v>
      </x:c>
      <x:c r="C37" s="61" t="str">
        <x:v>094072E8h</x:v>
      </x:c>
      <x:c r="D37" s="61" t="str">
        <x:v>002CD5E8h</x:v>
      </x:c>
      <x:c r="E37" s="61" t="str">
        <x:v>40000000h</x:v>
      </x:c>
      <x:c r="F37" s="61" t="str">
        <x:v>3F800000h</x:v>
      </x:c>
      <x:c r="G37" s="61" t="str">
        <x:v>float 2.0 → 1.0</x:v>
      </x:c>
      <x:c r="H37" s="61" t="str">
        <x:v>Vitesse roquette agent.</x:v>
      </x:c>
      <x:c r="I37" s="61" t="str">
        <x:v>data</x:v>
      </x:c>
      <x:c r="J37" s="61" t="str">
        <x:v>Non</x:v>
      </x:c>
      <x:c r="K37" s="61" t="str">
        <x:v>statically verified; requires in-game validation</x:v>
      </x:c>
      <x:c r="L37" s="61" t="str">
        <x:v>_L 0x20C072E8 0x3F800000</x:v>
      </x:c>
    </x:row>
    <x:row r="38">
      <x:c r="A38" s="61" t="str">
        <x:v>Agents Ravageurs / Agents of Doom</x:v>
      </x:c>
      <x:c r="B38" s="61" t="str">
        <x:v>Timers des agents/gant/grenade, balistique grenade, vitesse et temps de la roquette.</x:v>
      </x:c>
      <x:c r="C38" s="61" t="str">
        <x:v>0924B9A4h</x:v>
      </x:c>
      <x:c r="D38" s="61" t="str">
        <x:v>00111CA4h</x:v>
      </x:c>
      <x:c r="E38" s="61" t="str">
        <x:v>3C063D08h</x:v>
      </x:c>
      <x:c r="F38" s="61" t="str">
        <x:v>3C063C88h</x:v>
      </x:c>
      <x:c r="G38" s="61" t="str">
        <x:v>lui a2,1/30 → 1/60</x:v>
      </x:c>
      <x:c r="H38" s="61" t="str">
        <x:v>Âge temporel roquette agent.</x:v>
      </x:c>
      <x:c r="I38" s="61" t="str">
        <x:v>code</x:v>
      </x:c>
      <x:c r="J38" s="61" t="str">
        <x:v>Non</x:v>
      </x:c>
      <x:c r="K38" s="61" t="str">
        <x:v>statically verified; requires in-game validation</x:v>
      </x:c>
      <x:c r="L38" s="61" t="str">
        <x:v>_L 0x20A4B9A4 0x3C063C88</x:v>
      </x:c>
    </x:row>
    <x:row r="39">
      <x:c r="A39" s="61" t="str">
        <x:v>Agents Ravageurs / Agents of Doom</x:v>
      </x:c>
      <x:c r="B39" s="61" t="str">
        <x:v>Timers des agents/gant/grenade, balistique grenade, vitesse et temps de la roquette.</x:v>
      </x:c>
      <x:c r="C39" s="61" t="str">
        <x:v>09248108h</x:v>
      </x:c>
      <x:c r="D39" s="61" t="str">
        <x:v>0010E408h</x:v>
      </x:c>
      <x:c r="E39" s="61" t="str">
        <x:v>3C073F80h</x:v>
      </x:c>
      <x:c r="F39" s="61" t="str">
        <x:v>3C073F00h</x:v>
      </x:c>
      <x:c r="G39" s="61" t="str">
        <x:v>lui a3,1.0 → 0.5</x:v>
      </x:c>
      <x:c r="H39" s="61" t="str">
        <x:v>Pas du shrapnel décoratif.</x:v>
      </x:c>
      <x:c r="I39" s="61" t="str">
        <x:v>code</x:v>
      </x:c>
      <x:c r="J39" s="61" t="str">
        <x:v>Oui</x:v>
      </x:c>
      <x:c r="K39" s="61" t="str">
        <x:v>statically verified; requires in-game validation</x:v>
      </x:c>
      <x:c r="L39" s="61" t="str">
        <x:v>_L 0x20A48108 0x3C073F00</x:v>
      </x:c>
    </x:row>
    <x:row r="40">
      <x:c r="A40" s="61" t="str">
        <x:v>Gant Mine Abeille / Bee Mine Glove</x:v>
      </x:c>
      <x:c r="B40" s="61" t="str">
        <x:v>Âge, braquage et incréments de mouvement de la mine/abeille divisés par deux.</x:v>
      </x:c>
      <x:c r="C40" s="61" t="str">
        <x:v>0924EE24h</x:v>
      </x:c>
      <x:c r="D40" s="61" t="str">
        <x:v>00115124h</x:v>
      </x:c>
      <x:c r="E40" s="61" t="str">
        <x:v>3C043F80h</x:v>
      </x:c>
      <x:c r="F40" s="61" t="str">
        <x:v>3C043F00h</x:v>
      </x:c>
      <x:c r="G40" s="61" t="str">
        <x:v>lui a0,1.0 → 0.5</x:v>
      </x:c>
      <x:c r="H40" s="61" t="str">
        <x:v>Âge, état A.</x:v>
      </x:c>
      <x:c r="I40" s="61" t="str">
        <x:v>code</x:v>
      </x:c>
      <x:c r="J40" s="61" t="str">
        <x:v>Non</x:v>
      </x:c>
      <x:c r="K40" s="61" t="str">
        <x:v>statically verified; requires in-game validation</x:v>
      </x:c>
      <x:c r="L40" s="61" t="str">
        <x:v>_L 0x20A4EE24 0x3C043F00</x:v>
      </x:c>
    </x:row>
    <x:row r="41">
      <x:c r="A41" s="61" t="str">
        <x:v>Gant Mine Abeille / Bee Mine Glove</x:v>
      </x:c>
      <x:c r="B41" s="61" t="str">
        <x:v>Âge, braquage et incréments de mouvement de la mine/abeille divisés par deux.</x:v>
      </x:c>
      <x:c r="C41" s="61" t="str">
        <x:v>0924EF24h</x:v>
      </x:c>
      <x:c r="D41" s="61" t="str">
        <x:v>00115224h</x:v>
      </x:c>
      <x:c r="E41" s="61" t="str">
        <x:v>3C043F80h</x:v>
      </x:c>
      <x:c r="F41" s="61" t="str">
        <x:v>3C043F00h</x:v>
      </x:c>
      <x:c r="G41" s="61" t="str">
        <x:v>lui a0,1.0 → 0.5</x:v>
      </x:c>
      <x:c r="H41" s="61" t="str">
        <x:v>Âge, état B.</x:v>
      </x:c>
      <x:c r="I41" s="61" t="str">
        <x:v>code</x:v>
      </x:c>
      <x:c r="J41" s="61" t="str">
        <x:v>Non</x:v>
      </x:c>
      <x:c r="K41" s="61" t="str">
        <x:v>statically verified; requires in-game validation</x:v>
      </x:c>
      <x:c r="L41" s="61" t="str">
        <x:v>_L 0x20A4EF24 0x3C043F00</x:v>
      </x:c>
    </x:row>
    <x:row r="42">
      <x:c r="A42" s="61" t="str">
        <x:v>Gant Mine Abeille / Bee Mine Glove</x:v>
      </x:c>
      <x:c r="B42" s="61" t="str">
        <x:v>Âge, braquage et incréments de mouvement de la mine/abeille divisés par deux.</x:v>
      </x:c>
      <x:c r="C42" s="61" t="str">
        <x:v>094077A0h</x:v>
      </x:c>
      <x:c r="D42" s="61" t="str">
        <x:v>002CDAA0h</x:v>
      </x:c>
      <x:c r="E42" s="61" t="str">
        <x:v>3C360B62h</x:v>
      </x:c>
      <x:c r="F42" s="61" t="str">
        <x:v>3BB60B62h</x:v>
      </x:c>
      <x:c r="G42" s="61" t="str">
        <x:v>float 1/90 → 1/180</x:v>
      </x:c>
      <x:c r="H42" s="61" t="str">
        <x:v>Pas de progression.</x:v>
      </x:c>
      <x:c r="I42" s="61" t="str">
        <x:v>data</x:v>
      </x:c>
      <x:c r="J42" s="61" t="str">
        <x:v>Non</x:v>
      </x:c>
      <x:c r="K42" s="61" t="str">
        <x:v>statically verified; requires in-game validation</x:v>
      </x:c>
      <x:c r="L42" s="61" t="str">
        <x:v>_L 0x20C077A0 0x3BB60B62</x:v>
      </x:c>
    </x:row>
    <x:row r="43">
      <x:c r="A43" s="61" t="str">
        <x:v>Gant Mine Abeille / Bee Mine Glove</x:v>
      </x:c>
      <x:c r="B43" s="61" t="str">
        <x:v>Âge, braquage et incréments de mouvement de la mine/abeille divisés par deux.</x:v>
      </x:c>
      <x:c r="C43" s="61" t="str">
        <x:v>094077ACh</x:v>
      </x:c>
      <x:c r="D43" s="61" t="str">
        <x:v>002CDAACh</x:v>
      </x:c>
      <x:c r="E43" s="61" t="str">
        <x:v>3DD67751h</x:v>
      </x:c>
      <x:c r="F43" s="61" t="str">
        <x:v>3D567751h</x:v>
      </x:c>
      <x:c r="G43" s="61" t="str">
        <x:v>float 0.1047198 → 0.0523599</x:v>
      </x:c>
      <x:c r="H43" s="61" t="str">
        <x:v>Braquage.</x:v>
      </x:c>
      <x:c r="I43" s="61" t="str">
        <x:v>data</x:v>
      </x:c>
      <x:c r="J43" s="61" t="str">
        <x:v>Non</x:v>
      </x:c>
      <x:c r="K43" s="61" t="str">
        <x:v>statically verified; requires in-game validation</x:v>
      </x:c>
      <x:c r="L43" s="61" t="str">
        <x:v>_L 0x20C077AC 0x3D567751</x:v>
      </x:c>
    </x:row>
    <x:row r="44">
      <x:c r="A44" s="61" t="str">
        <x:v>Gant Mine Abeille / Bee Mine Glove</x:v>
      </x:c>
      <x:c r="B44" s="61" t="str">
        <x:v>Âge, braquage et incréments de mouvement de la mine/abeille divisés par deux.</x:v>
      </x:c>
      <x:c r="C44" s="61" t="str">
        <x:v>094077B0h</x:v>
      </x:c>
      <x:c r="D44" s="61" t="str">
        <x:v>002CDAB0h</x:v>
      </x:c>
      <x:c r="E44" s="61" t="str">
        <x:v>3E567751h</x:v>
      </x:c>
      <x:c r="F44" s="61" t="str">
        <x:v>3DD67751h</x:v>
      </x:c>
      <x:c r="G44" s="61" t="str">
        <x:v>float 0.2094395 → 0.1047198</x:v>
      </x:c>
      <x:c r="H44" s="61" t="str">
        <x:v>Braquage.</x:v>
      </x:c>
      <x:c r="I44" s="61" t="str">
        <x:v>data</x:v>
      </x:c>
      <x:c r="J44" s="61" t="str">
        <x:v>Non</x:v>
      </x:c>
      <x:c r="K44" s="61" t="str">
        <x:v>statically verified; requires in-game validation</x:v>
      </x:c>
      <x:c r="L44" s="61" t="str">
        <x:v>_L 0x20C077B0 0x3DD67751</x:v>
      </x:c>
    </x:row>
    <x:row r="45">
      <x:c r="A45" s="61" t="str">
        <x:v>Gant Mine Abeille / Bee Mine Glove</x:v>
      </x:c>
      <x:c r="B45" s="61" t="str">
        <x:v>Âge, braquage et incréments de mouvement de la mine/abeille divisés par deux.</x:v>
      </x:c>
      <x:c r="C45" s="61" t="str">
        <x:v>094077B8h</x:v>
      </x:c>
      <x:c r="D45" s="61" t="str">
        <x:v>002CDAB8h</x:v>
      </x:c>
      <x:c r="E45" s="61" t="str">
        <x:v>3DCCCCCDh</x:v>
      </x:c>
      <x:c r="F45" s="61" t="str">
        <x:v>3D4CCCCDh</x:v>
      </x:c>
      <x:c r="G45" s="61" t="str">
        <x:v>float 0.1 → 0.05</x:v>
      </x:c>
      <x:c r="H45" s="61" t="str">
        <x:v>Incrément.</x:v>
      </x:c>
      <x:c r="I45" s="61" t="str">
        <x:v>code</x:v>
      </x:c>
      <x:c r="J45" s="61" t="str">
        <x:v>Non</x:v>
      </x:c>
      <x:c r="K45" s="61" t="str">
        <x:v>statically verified; requires in-game validation</x:v>
      </x:c>
      <x:c r="L45" s="61" t="str">
        <x:v>_L 0x20C077B8 0x3D4CCCCD</x:v>
      </x:c>
    </x:row>
    <x:row r="46">
      <x:c r="A46" s="61" t="str">
        <x:v>Gant Mine Abeille / Bee Mine Glove</x:v>
      </x:c>
      <x:c r="B46" s="61" t="str">
        <x:v>Âge, braquage et incréments de mouvement de la mine/abeille divisés par deux.</x:v>
      </x:c>
      <x:c r="C46" s="61" t="str">
        <x:v>094077BCh</x:v>
      </x:c>
      <x:c r="D46" s="61" t="str">
        <x:v>002CDABCh</x:v>
      </x:c>
      <x:c r="E46" s="61" t="str">
        <x:v>3E800000h</x:v>
      </x:c>
      <x:c r="F46" s="61" t="str">
        <x:v>3E000000h</x:v>
      </x:c>
      <x:c r="G46" s="61" t="str">
        <x:v>float 0.25 → 0.125</x:v>
      </x:c>
      <x:c r="H46" s="61" t="str">
        <x:v>Incrément.</x:v>
      </x:c>
      <x:c r="I46" s="61" t="str">
        <x:v>code</x:v>
      </x:c>
      <x:c r="J46" s="61" t="str">
        <x:v>Non</x:v>
      </x:c>
      <x:c r="K46" s="61" t="str">
        <x:v>statically verified; requires in-game validation</x:v>
      </x:c>
      <x:c r="L46" s="61" t="str">
        <x:v>_L 0x20C077BC 0x3E000000</x:v>
      </x:c>
    </x:row>
    <x:row r="47">
      <x:c r="A47" s="61" t="str">
        <x:v>Gant Mine Abeille / Bee Mine Glove</x:v>
      </x:c>
      <x:c r="B47" s="61" t="str">
        <x:v>Âge, braquage et incréments de mouvement de la mine/abeille divisés par deux.</x:v>
      </x:c>
      <x:c r="C47" s="61" t="str">
        <x:v>094077A4h</x:v>
      </x:c>
      <x:c r="D47" s="61" t="str">
        <x:v>002CDAA4h</x:v>
      </x:c>
      <x:c r="E47" s="61" t="str">
        <x:v>41880000h</x:v>
      </x:c>
      <x:c r="F47" s="61" t="str">
        <x:v>41080000h</x:v>
      </x:c>
      <x:c r="G47" s="61" t="str">
        <x:v>float 17 → 8.5</x:v>
      </x:c>
      <x:c r="H47" s="61" t="str">
        <x:v>Fondu/alpha candidat.</x:v>
      </x:c>
      <x:c r="I47" s="61" t="str">
        <x:v>data</x:v>
      </x:c>
      <x:c r="J47" s="61" t="str">
        <x:v>Oui</x:v>
      </x:c>
      <x:c r="K47" s="61" t="str">
        <x:v>statically verified; requires in-game validation</x:v>
      </x:c>
      <x:c r="L47" s="61" t="str">
        <x:v>_L 0x20C077A4 0x41080000</x:v>
      </x:c>
    </x:row>
    <x:row r="48">
      <x:c r="A48" s="61" t="str">
        <x:v>Barrière Statique / Static Barrier</x:v>
      </x:c>
      <x:c r="B48" s="61" t="str">
        <x:v>Compteurs d’état fixes corrigés ; drain d’énergie delta-based volontairement intact.</x:v>
      </x:c>
      <x:c r="C48" s="61" t="str">
        <x:v>092A695Ch</x:v>
      </x:c>
      <x:c r="D48" s="61" t="str">
        <x:v>0016CC5Ch</x:v>
      </x:c>
      <x:c r="E48" s="61" t="str">
        <x:v>3C04BF80h</x:v>
      </x:c>
      <x:c r="F48" s="61" t="str">
        <x:v>3C04BF00h</x:v>
      </x:c>
      <x:c r="G48" s="61" t="str">
        <x:v>lui a0,-1.0 → -0.5</x:v>
      </x:c>
      <x:c r="H48" s="61" t="str">
        <x:v>Compteur joueur +0x1068.</x:v>
      </x:c>
      <x:c r="I48" s="61" t="str">
        <x:v>code</x:v>
      </x:c>
      <x:c r="J48" s="61" t="str">
        <x:v>Non</x:v>
      </x:c>
      <x:c r="K48" s="61" t="str">
        <x:v>statically verified; requires in-game validation</x:v>
      </x:c>
      <x:c r="L48" s="61" t="str">
        <x:v>_L 0x20AA695C 0x3C04BF00</x:v>
      </x:c>
    </x:row>
    <x:row r="49">
      <x:c r="A49" s="61" t="str">
        <x:v>Barrière Statique / Static Barrier</x:v>
      </x:c>
      <x:c r="B49" s="61" t="str">
        <x:v>Compteurs d’état fixes corrigés ; drain d’énergie delta-based volontairement intact.</x:v>
      </x:c>
      <x:c r="C49" s="61" t="str">
        <x:v>092A6D5Ch</x:v>
      </x:c>
      <x:c r="D49" s="61" t="str">
        <x:v>0016D05Ch</x:v>
      </x:c>
      <x:c r="E49" s="61" t="str">
        <x:v>3C04BF80h</x:v>
      </x:c>
      <x:c r="F49" s="61" t="str">
        <x:v>3C04BF00h</x:v>
      </x:c>
      <x:c r="G49" s="61" t="str">
        <x:v>lui a0,-1.0 → -0.5</x:v>
      </x:c>
      <x:c r="H49" s="61" t="str">
        <x:v>Compteur joueur +0x1074.</x:v>
      </x:c>
      <x:c r="I49" s="61" t="str">
        <x:v>code</x:v>
      </x:c>
      <x:c r="J49" s="61" t="str">
        <x:v>Non</x:v>
      </x:c>
      <x:c r="K49" s="61" t="str">
        <x:v>statically verified; requires in-game validation</x:v>
      </x:c>
      <x:c r="L49" s="61" t="str">
        <x:v>_L 0x20AA6D5C 0x3C04BF00</x:v>
      </x:c>
    </x:row>
    <x:row r="50">
      <x:c r="A50" s="61" t="str">
        <x:v>Barrière Statique / Static Barrier</x:v>
      </x:c>
      <x:c r="B50" s="61" t="str">
        <x:v>Compteurs d’état fixes corrigés ; drain d’énergie delta-based volontairement intact.</x:v>
      </x:c>
      <x:c r="C50" s="61" t="str">
        <x:v>092A6D14h</x:v>
      </x:c>
      <x:c r="D50" s="61" t="str">
        <x:v>0016D014h</x:v>
      </x:c>
      <x:c r="E50" s="61" t="str">
        <x:v>3C043D08h</x:v>
      </x:c>
      <x:c r="F50" s="61" t="str">
        <x:v>3C043C88h</x:v>
      </x:c>
      <x:c r="G50" s="61" t="str">
        <x:v>lui a0,1/30 → 1/60</x:v>
      </x:c>
      <x:c r="H50" s="61" t="str">
        <x:v>Phase d’état.</x:v>
      </x:c>
      <x:c r="I50" s="61" t="str">
        <x:v>code</x:v>
      </x:c>
      <x:c r="J50" s="61" t="str">
        <x:v>Non</x:v>
      </x:c>
      <x:c r="K50" s="61" t="str">
        <x:v>statically verified; requires in-game validation</x:v>
      </x:c>
      <x:c r="L50" s="61" t="str">
        <x:v>_L 0x20AA6D14 0x3C043C88</x:v>
      </x:c>
    </x:row>
    <x:row r="51">
      <x:c r="A51" s="61" t="str">
        <x:v>Barrière Statique / Static Barrier</x:v>
      </x:c>
      <x:c r="B51" s="61" t="str">
        <x:v>Compteurs d’état fixes corrigés ; drain d’énergie delta-based volontairement intact.</x:v>
      </x:c>
      <x:c r="C51" s="61" t="str">
        <x:v>09410F5Ch</x:v>
      </x:c>
      <x:c r="D51" s="61" t="str">
        <x:v>002D725Ch</x:v>
      </x:c>
      <x:c r="E51" s="61" t="str">
        <x:v>42F00000h</x:v>
      </x:c>
      <x:c r="F51" s="61" t="str">
        <x:v>43700000h</x:v>
      </x:c>
      <x:c r="G51" s="61" t="str">
        <x:v>float 120 → 240</x:v>
      </x:c>
      <x:c r="H51" s="61" t="str">
        <x:v>Compteur entier décrémenté de 1.</x:v>
      </x:c>
      <x:c r="I51" s="61" t="str">
        <x:v>data</x:v>
      </x:c>
      <x:c r="J51" s="61" t="str">
        <x:v>Non</x:v>
      </x:c>
      <x:c r="K51" s="61" t="str">
        <x:v>statically verified; requires in-game validation</x:v>
      </x:c>
      <x:c r="L51" s="61" t="str">
        <x:v>_L 0x20C10F5C 0x43700000</x:v>
      </x:c>
    </x:row>
    <x:row r="52">
      <x:c r="A52" s="61" t="str">
        <x:v>Roquette Éclair / Shock Rocket</x:v>
      </x:c>
      <x:c r="B52" s="61" t="str">
        <x:v>Compteur de visée, vitesse, durée de vie et braquage du projectile.</x:v>
      </x:c>
      <x:c r="C52" s="61" t="str">
        <x:v>092A976Ch</x:v>
      </x:c>
      <x:c r="D52" s="61" t="str">
        <x:v>0016FA6Ch</x:v>
      </x:c>
      <x:c r="E52" s="61" t="str">
        <x:v>46148B01h</x:v>
      </x:c>
      <x:c r="F52" s="61" t="str">
        <x:v>0A200B40h</x:v>
      </x:c>
      <x:c r="G52" s="61" t="str">
        <x:v>sub.s f12,f17,f20 → j cave A</x:v>
      </x:c>
      <x:c r="H52" s="61" t="str">
        <x:v>Décrément privé chemin A.</x:v>
      </x:c>
      <x:c r="I52" s="61" t="str">
        <x:v>hook</x:v>
      </x:c>
      <x:c r="J52" s="61" t="str">
        <x:v>Non</x:v>
      </x:c>
      <x:c r="K52" s="61" t="str">
        <x:v>statically verified; requires in-game validation</x:v>
      </x:c>
      <x:c r="L52" s="61" t="str">
        <x:v>_L 0x20AA976C 0x0A200B40</x:v>
      </x:c>
    </x:row>
    <x:row r="53">
      <x:c r="A53" s="61" t="str">
        <x:v>Roquette Éclair / Shock Rocket</x:v>
      </x:c>
      <x:c r="B53" s="61" t="str">
        <x:v>Compteur de visée, vitesse, durée de vie et braquage du projectile.</x:v>
      </x:c>
      <x:c r="C53" s="61" t="str">
        <x:v>092A9798h</x:v>
      </x:c>
      <x:c r="D53" s="61" t="str">
        <x:v>0016FA98h</x:v>
      </x:c>
      <x:c r="E53" s="61" t="str">
        <x:v>46146301h</x:v>
      </x:c>
      <x:c r="F53" s="61" t="str">
        <x:v>0A200B50h</x:v>
      </x:c>
      <x:c r="G53" s="61" t="str">
        <x:v>sub.s f12,f12,f20 → j cave B</x:v>
      </x:c>
      <x:c r="H53" s="61" t="str">
        <x:v>Décrément privé chemin B.</x:v>
      </x:c>
      <x:c r="I53" s="61" t="str">
        <x:v>hook</x:v>
      </x:c>
      <x:c r="J53" s="61" t="str">
        <x:v>Non</x:v>
      </x:c>
      <x:c r="K53" s="61" t="str">
        <x:v>statically verified; requires in-game validation</x:v>
      </x:c>
      <x:c r="L53" s="61" t="str">
        <x:v>_L 0x20AA9798 0x0A200B50</x:v>
      </x:c>
    </x:row>
    <x:row r="54">
      <x:c r="A54" s="61" t="str">
        <x:v>Roquette Éclair / Shock Rocket</x:v>
      </x:c>
      <x:c r="B54" s="61" t="str">
        <x:v>Compteur de visée, vitesse, durée de vie et braquage du projectile.</x:v>
      </x:c>
      <x:c r="C54" s="61" t="str">
        <x:v>092A979Ch</x:v>
      </x:c>
      <x:c r="D54" s="61" t="str">
        <x:v>0016FA9Ch</x:v>
      </x:c>
      <x:c r="E54" s="61" t="str">
        <x:v>4616603Ch</x:v>
      </x:c>
      <x:c r="F54" s="61" t="str">
        <x:v>00000000h</x:v>
      </x:c>
      <x:c r="G54" s="61" t="str">
        <x:v>c.lt.s f12,f22 → nop</x:v>
      </x:c>
      <x:c r="H54" s="61" t="str">
        <x:v>Comparaison reproduite dans la cave.</x:v>
      </x:c>
      <x:c r="I54" s="61" t="str">
        <x:v>hook</x:v>
      </x:c>
      <x:c r="J54" s="61" t="str">
        <x:v>Non</x:v>
      </x:c>
      <x:c r="K54" s="61" t="str">
        <x:v>statically verified; requires in-game validation</x:v>
      </x:c>
      <x:c r="L54" s="61" t="str">
        <x:v>_L 0x20AA979C 0x00000000</x:v>
      </x:c>
    </x:row>
    <x:row r="55">
      <x:c r="A55" s="61" t="str">
        <x:v>Roquette Éclair / Shock Rocket</x:v>
      </x:c>
      <x:c r="B55" s="61" t="str">
        <x:v>Compteur de visée, vitesse, durée de vie et braquage du projectile.</x:v>
      </x:c>
      <x:c r="C55" s="61" t="str">
        <x:v>09411164h</x:v>
      </x:c>
      <x:c r="D55" s="61" t="str">
        <x:v>002D7464h</x:v>
      </x:c>
      <x:c r="E55" s="61" t="str">
        <x:v>40400000h</x:v>
      </x:c>
      <x:c r="F55" s="61" t="str">
        <x:v>3FC00000h</x:v>
      </x:c>
      <x:c r="G55" s="61" t="str">
        <x:v>float 3.0 → 1.5</x:v>
      </x:c>
      <x:c r="H55" s="61" t="str">
        <x:v>Table de vitesse.</x:v>
      </x:c>
      <x:c r="I55" s="61" t="str">
        <x:v>data</x:v>
      </x:c>
      <x:c r="J55" s="61" t="str">
        <x:v>Non</x:v>
      </x:c>
      <x:c r="K55" s="61" t="str">
        <x:v>statically verified; requires in-game validation</x:v>
      </x:c>
      <x:c r="L55" s="61" t="str">
        <x:v>_L 0x20C11164 0x3FC00000</x:v>
      </x:c>
    </x:row>
    <x:row r="56">
      <x:c r="A56" s="61" t="str">
        <x:v>Roquette Éclair / Shock Rocket</x:v>
      </x:c>
      <x:c r="B56" s="61" t="str">
        <x:v>Compteur de visée, vitesse, durée de vie et braquage du projectile.</x:v>
      </x:c>
      <x:c r="C56" s="61" t="str">
        <x:v>09411168h</x:v>
      </x:c>
      <x:c r="D56" s="61" t="str">
        <x:v>002D7468h</x:v>
      </x:c>
      <x:c r="E56" s="61" t="str">
        <x:v>40400000h</x:v>
      </x:c>
      <x:c r="F56" s="61" t="str">
        <x:v>3FC00000h</x:v>
      </x:c>
      <x:c r="G56" s="61" t="str">
        <x:v>float 3.0 → 1.5</x:v>
      </x:c>
      <x:c r="H56" s="61" t="str">
        <x:v>Table de vitesse.</x:v>
      </x:c>
      <x:c r="I56" s="61" t="str">
        <x:v>data</x:v>
      </x:c>
      <x:c r="J56" s="61" t="str">
        <x:v>Non</x:v>
      </x:c>
      <x:c r="K56" s="61" t="str">
        <x:v>statically verified; requires in-game validation</x:v>
      </x:c>
      <x:c r="L56" s="61" t="str">
        <x:v>_L 0x20C11168 0x3FC00000</x:v>
      </x:c>
    </x:row>
    <x:row r="57">
      <x:c r="A57" s="61" t="str">
        <x:v>Roquette Éclair / Shock Rocket</x:v>
      </x:c>
      <x:c r="B57" s="61" t="str">
        <x:v>Compteur de visée, vitesse, durée de vie et braquage du projectile.</x:v>
      </x:c>
      <x:c r="C57" s="61" t="str">
        <x:v>0941116Ch</x:v>
      </x:c>
      <x:c r="D57" s="61" t="str">
        <x:v>002D746Ch</x:v>
      </x:c>
      <x:c r="E57" s="61" t="str">
        <x:v>40400000h</x:v>
      </x:c>
      <x:c r="F57" s="61" t="str">
        <x:v>3FC00000h</x:v>
      </x:c>
      <x:c r="G57" s="61" t="str">
        <x:v>float 3.0 → 1.5</x:v>
      </x:c>
      <x:c r="H57" s="61" t="str">
        <x:v>Table de vitesse.</x:v>
      </x:c>
      <x:c r="I57" s="61" t="str">
        <x:v>data</x:v>
      </x:c>
      <x:c r="J57" s="61" t="str">
        <x:v>Non</x:v>
      </x:c>
      <x:c r="K57" s="61" t="str">
        <x:v>statically verified; requires in-game validation</x:v>
      </x:c>
      <x:c r="L57" s="61" t="str">
        <x:v>_L 0x20C1116C 0x3FC00000</x:v>
      </x:c>
    </x:row>
    <x:row r="58">
      <x:c r="A58" s="61" t="str">
        <x:v>Roquette Éclair / Shock Rocket</x:v>
      </x:c>
      <x:c r="B58" s="61" t="str">
        <x:v>Compteur de visée, vitesse, durée de vie et braquage du projectile.</x:v>
      </x:c>
      <x:c r="C58" s="61" t="str">
        <x:v>09411170h</x:v>
      </x:c>
      <x:c r="D58" s="61" t="str">
        <x:v>002D7470h</x:v>
      </x:c>
      <x:c r="E58" s="61" t="str">
        <x:v>40400000h</x:v>
      </x:c>
      <x:c r="F58" s="61" t="str">
        <x:v>3FC00000h</x:v>
      </x:c>
      <x:c r="G58" s="61" t="str">
        <x:v>float 3.0 → 1.5</x:v>
      </x:c>
      <x:c r="H58" s="61" t="str">
        <x:v>Table de vitesse.</x:v>
      </x:c>
      <x:c r="I58" s="61" t="str">
        <x:v>data</x:v>
      </x:c>
      <x:c r="J58" s="61" t="str">
        <x:v>Non</x:v>
      </x:c>
      <x:c r="K58" s="61" t="str">
        <x:v>statically verified; requires in-game validation</x:v>
      </x:c>
      <x:c r="L58" s="61" t="str">
        <x:v>_L 0x20C11170 0x3FC00000</x:v>
      </x:c>
    </x:row>
    <x:row r="59">
      <x:c r="A59" s="61" t="str">
        <x:v>Roquette Éclair / Shock Rocket</x:v>
      </x:c>
      <x:c r="B59" s="61" t="str">
        <x:v>Compteur de visée, vitesse, durée de vie et braquage du projectile.</x:v>
      </x:c>
      <x:c r="C59" s="61" t="str">
        <x:v>09411174h</x:v>
      </x:c>
      <x:c r="D59" s="61" t="str">
        <x:v>002D7474h</x:v>
      </x:c>
      <x:c r="E59" s="61" t="str">
        <x:v>40400000h</x:v>
      </x:c>
      <x:c r="F59" s="61" t="str">
        <x:v>3FC00000h</x:v>
      </x:c>
      <x:c r="G59" s="61" t="str">
        <x:v>float 3.0 → 1.5</x:v>
      </x:c>
      <x:c r="H59" s="61" t="str">
        <x:v>Table de vitesse.</x:v>
      </x:c>
      <x:c r="I59" s="61" t="str">
        <x:v>data</x:v>
      </x:c>
      <x:c r="J59" s="61" t="str">
        <x:v>Non</x:v>
      </x:c>
      <x:c r="K59" s="61" t="str">
        <x:v>statically verified; requires in-game validation</x:v>
      </x:c>
      <x:c r="L59" s="61" t="str">
        <x:v>_L 0x20C11174 0x3FC00000</x:v>
      </x:c>
    </x:row>
    <x:row r="60">
      <x:c r="A60" s="61" t="str">
        <x:v>Roquette Éclair / Shock Rocket</x:v>
      </x:c>
      <x:c r="B60" s="61" t="str">
        <x:v>Compteur de visée, vitesse, durée de vie et braquage du projectile.</x:v>
      </x:c>
      <x:c r="C60" s="61" t="str">
        <x:v>09411178h</x:v>
      </x:c>
      <x:c r="D60" s="61" t="str">
        <x:v>002D7478h</x:v>
      </x:c>
      <x:c r="E60" s="61" t="str">
        <x:v>40400000h</x:v>
      </x:c>
      <x:c r="F60" s="61" t="str">
        <x:v>3FC00000h</x:v>
      </x:c>
      <x:c r="G60" s="61" t="str">
        <x:v>float 3.0 → 1.5</x:v>
      </x:c>
      <x:c r="H60" s="61" t="str">
        <x:v>Table de vitesse.</x:v>
      </x:c>
      <x:c r="I60" s="61" t="str">
        <x:v>data</x:v>
      </x:c>
      <x:c r="J60" s="61" t="str">
        <x:v>Non</x:v>
      </x:c>
      <x:c r="K60" s="61" t="str">
        <x:v>statically verified; requires in-game validation</x:v>
      </x:c>
      <x:c r="L60" s="61" t="str">
        <x:v>_L 0x20C11178 0x3FC00000</x:v>
      </x:c>
    </x:row>
    <x:row r="61">
      <x:c r="A61" s="61" t="str">
        <x:v>Roquette Éclair / Shock Rocket</x:v>
      </x:c>
      <x:c r="B61" s="61" t="str">
        <x:v>Compteur de visée, vitesse, durée de vie et braquage du projectile.</x:v>
      </x:c>
      <x:c r="C61" s="61" t="str">
        <x:v>0941117Ch</x:v>
      </x:c>
      <x:c r="D61" s="61" t="str">
        <x:v>002D747Ch</x:v>
      </x:c>
      <x:c r="E61" s="61" t="str">
        <x:v>40400000h</x:v>
      </x:c>
      <x:c r="F61" s="61" t="str">
        <x:v>3FC00000h</x:v>
      </x:c>
      <x:c r="G61" s="61" t="str">
        <x:v>float 3.0 → 1.5</x:v>
      </x:c>
      <x:c r="H61" s="61" t="str">
        <x:v>Table de vitesse.</x:v>
      </x:c>
      <x:c r="I61" s="61" t="str">
        <x:v>data</x:v>
      </x:c>
      <x:c r="J61" s="61" t="str">
        <x:v>Non</x:v>
      </x:c>
      <x:c r="K61" s="61" t="str">
        <x:v>statically verified; requires in-game validation</x:v>
      </x:c>
      <x:c r="L61" s="61" t="str">
        <x:v>_L 0x20C1117C 0x3FC00000</x:v>
      </x:c>
    </x:row>
    <x:row r="62">
      <x:c r="A62" s="61" t="str">
        <x:v>Roquette Éclair / Shock Rocket</x:v>
      </x:c>
      <x:c r="B62" s="61" t="str">
        <x:v>Compteur de visée, vitesse, durée de vie et braquage du projectile.</x:v>
      </x:c>
      <x:c r="C62" s="61" t="str">
        <x:v>094111A0h</x:v>
      </x:c>
      <x:c r="D62" s="61" t="str">
        <x:v>002D74A0h</x:v>
      </x:c>
      <x:c r="E62" s="61" t="str">
        <x:v>3DA0D97Ch</x:v>
      </x:c>
      <x:c r="F62" s="61" t="str">
        <x:v>3D20D97Ch</x:v>
      </x:c>
      <x:c r="G62" s="61" t="str">
        <x:v>float π/40 → π/80</x:v>
      </x:c>
      <x:c r="H62" s="61" t="str">
        <x:v>Braquage.</x:v>
      </x:c>
      <x:c r="I62" s="61" t="str">
        <x:v>data</x:v>
      </x:c>
      <x:c r="J62" s="61" t="str">
        <x:v>Non</x:v>
      </x:c>
      <x:c r="K62" s="61" t="str">
        <x:v>statically verified; requires in-game validation</x:v>
      </x:c>
      <x:c r="L62" s="61" t="str">
        <x:v>_L 0x20C111A0 0x3D20D97C</x:v>
      </x:c>
    </x:row>
    <x:row r="63">
      <x:c r="A63" s="61" t="str">
        <x:v>Roquette Éclair / Shock Rocket</x:v>
      </x:c>
      <x:c r="B63" s="61" t="str">
        <x:v>Compteur de visée, vitesse, durée de vie et braquage du projectile.</x:v>
      </x:c>
      <x:c r="C63" s="61" t="str">
        <x:v>094111A4h</x:v>
      </x:c>
      <x:c r="D63" s="61" t="str">
        <x:v>002D74A4h</x:v>
      </x:c>
      <x:c r="E63" s="61" t="str">
        <x:v>3DA0D97Ch</x:v>
      </x:c>
      <x:c r="F63" s="61" t="str">
        <x:v>3D20D97Ch</x:v>
      </x:c>
      <x:c r="G63" s="61" t="str">
        <x:v>float π/40 → π/80</x:v>
      </x:c>
      <x:c r="H63" s="61" t="str">
        <x:v>Braquage.</x:v>
      </x:c>
      <x:c r="I63" s="61" t="str">
        <x:v>data</x:v>
      </x:c>
      <x:c r="J63" s="61" t="str">
        <x:v>Non</x:v>
      </x:c>
      <x:c r="K63" s="61" t="str">
        <x:v>statically verified; requires in-game validation</x:v>
      </x:c>
      <x:c r="L63" s="61" t="str">
        <x:v>_L 0x20C111A4 0x3D20D97C</x:v>
      </x:c>
    </x:row>
    <x:row r="64">
      <x:c r="A64" s="61" t="str">
        <x:v>Roquette Éclair / Shock Rocket</x:v>
      </x:c>
      <x:c r="B64" s="61" t="str">
        <x:v>Compteur de visée, vitesse, durée de vie et braquage du projectile.</x:v>
      </x:c>
      <x:c r="C64" s="61" t="str">
        <x:v>094111A8h</x:v>
      </x:c>
      <x:c r="D64" s="61" t="str">
        <x:v>002D74A8h</x:v>
      </x:c>
      <x:c r="E64" s="61" t="str">
        <x:v>3E20D97Ch</x:v>
      </x:c>
      <x:c r="F64" s="61" t="str">
        <x:v>3DA0D97Ch</x:v>
      </x:c>
      <x:c r="G64" s="61" t="str">
        <x:v>float π/20 → π/40</x:v>
      </x:c>
      <x:c r="H64" s="61" t="str">
        <x:v>Braquage.</x:v>
      </x:c>
      <x:c r="I64" s="61" t="str">
        <x:v>data</x:v>
      </x:c>
      <x:c r="J64" s="61" t="str">
        <x:v>Non</x:v>
      </x:c>
      <x:c r="K64" s="61" t="str">
        <x:v>statically verified; requires in-game validation</x:v>
      </x:c>
      <x:c r="L64" s="61" t="str">
        <x:v>_L 0x20C111A8 0x3DA0D97C</x:v>
      </x:c>
    </x:row>
    <x:row r="65">
      <x:c r="A65" s="61" t="str">
        <x:v>Roquette Éclair / Shock Rocket</x:v>
      </x:c>
      <x:c r="B65" s="61" t="str">
        <x:v>Compteur de visée, vitesse, durée de vie et braquage du projectile.</x:v>
      </x:c>
      <x:c r="C65" s="61" t="str">
        <x:v>094111ACh</x:v>
      </x:c>
      <x:c r="D65" s="61" t="str">
        <x:v>002D74ACh</x:v>
      </x:c>
      <x:c r="E65" s="61" t="str">
        <x:v>3E20D97Ch</x:v>
      </x:c>
      <x:c r="F65" s="61" t="str">
        <x:v>3DA0D97Ch</x:v>
      </x:c>
      <x:c r="G65" s="61" t="str">
        <x:v>float π/20 → π/40</x:v>
      </x:c>
      <x:c r="H65" s="61" t="str">
        <x:v>Braquage.</x:v>
      </x:c>
      <x:c r="I65" s="61" t="str">
        <x:v>data</x:v>
      </x:c>
      <x:c r="J65" s="61" t="str">
        <x:v>Non</x:v>
      </x:c>
      <x:c r="K65" s="61" t="str">
        <x:v>statically verified; requires in-game validation</x:v>
      </x:c>
      <x:c r="L65" s="61" t="str">
        <x:v>_L 0x20C111AC 0x3DA0D97C</x:v>
      </x:c>
    </x:row>
    <x:row r="66">
      <x:c r="A66" s="61" t="str">
        <x:v>Roquette Éclair / Shock Rocket</x:v>
      </x:c>
      <x:c r="B66" s="61" t="str">
        <x:v>Compteur de visée, vitesse, durée de vie et braquage du projectile.</x:v>
      </x:c>
      <x:c r="C66" s="61" t="str">
        <x:v>094111B0h</x:v>
      </x:c>
      <x:c r="D66" s="61" t="str">
        <x:v>002D74B0h</x:v>
      </x:c>
      <x:c r="E66" s="61" t="str">
        <x:v>3E20D97Ch</x:v>
      </x:c>
      <x:c r="F66" s="61" t="str">
        <x:v>3DA0D97Ch</x:v>
      </x:c>
      <x:c r="G66" s="61" t="str">
        <x:v>float π/20 → π/40</x:v>
      </x:c>
      <x:c r="H66" s="61" t="str">
        <x:v>Braquage.</x:v>
      </x:c>
      <x:c r="I66" s="61" t="str">
        <x:v>data</x:v>
      </x:c>
      <x:c r="J66" s="61" t="str">
        <x:v>Non</x:v>
      </x:c>
      <x:c r="K66" s="61" t="str">
        <x:v>statically verified; requires in-game validation</x:v>
      </x:c>
      <x:c r="L66" s="61" t="str">
        <x:v>_L 0x20C111B0 0x3DA0D97C</x:v>
      </x:c>
    </x:row>
    <x:row r="67">
      <x:c r="A67" s="61" t="str">
        <x:v>Roquette Éclair / Shock Rocket</x:v>
      </x:c>
      <x:c r="B67" s="61" t="str">
        <x:v>Compteur de visée, vitesse, durée de vie et braquage du projectile.</x:v>
      </x:c>
      <x:c r="C67" s="61" t="str">
        <x:v>094111B4h</x:v>
      </x:c>
      <x:c r="D67" s="61" t="str">
        <x:v>002D74B4h</x:v>
      </x:c>
      <x:c r="E67" s="61" t="str">
        <x:v>3E20D97Ch</x:v>
      </x:c>
      <x:c r="F67" s="61" t="str">
        <x:v>3DA0D97Ch</x:v>
      </x:c>
      <x:c r="G67" s="61" t="str">
        <x:v>float π/20 → π/40</x:v>
      </x:c>
      <x:c r="H67" s="61" t="str">
        <x:v>Braquage.</x:v>
      </x:c>
      <x:c r="I67" s="61" t="str">
        <x:v>data</x:v>
      </x:c>
      <x:c r="J67" s="61" t="str">
        <x:v>Non</x:v>
      </x:c>
      <x:c r="K67" s="61" t="str">
        <x:v>statically verified; requires in-game validation</x:v>
      </x:c>
      <x:c r="L67" s="61" t="str">
        <x:v>_L 0x20C111B4 0x3DA0D97C</x:v>
      </x:c>
    </x:row>
    <x:row r="68">
      <x:c r="A68" s="61" t="str">
        <x:v>Roquette Éclair / Shock Rocket</x:v>
      </x:c>
      <x:c r="B68" s="61" t="str">
        <x:v>Compteur de visée, vitesse, durée de vie et braquage du projectile.</x:v>
      </x:c>
      <x:c r="C68" s="61" t="str">
        <x:v>094111B8h</x:v>
      </x:c>
      <x:c r="D68" s="61" t="str">
        <x:v>002D74B8h</x:v>
      </x:c>
      <x:c r="E68" s="61" t="str">
        <x:v>3E20D97Ch</x:v>
      </x:c>
      <x:c r="F68" s="61" t="str">
        <x:v>3DA0D97Ch</x:v>
      </x:c>
      <x:c r="G68" s="61" t="str">
        <x:v>float π/20 → π/40</x:v>
      </x:c>
      <x:c r="H68" s="61" t="str">
        <x:v>Braquage.</x:v>
      </x:c>
      <x:c r="I68" s="61" t="str">
        <x:v>data</x:v>
      </x:c>
      <x:c r="J68" s="61" t="str">
        <x:v>Non</x:v>
      </x:c>
      <x:c r="K68" s="61" t="str">
        <x:v>statically verified; requires in-game validation</x:v>
      </x:c>
      <x:c r="L68" s="61" t="str">
        <x:v>_L 0x20C111B8 0x3DA0D97C</x:v>
      </x:c>
    </x:row>
    <x:row r="69">
      <x:c r="A69" s="61" t="str">
        <x:v>Roquette Éclair / Shock Rocket</x:v>
      </x:c>
      <x:c r="B69" s="61" t="str">
        <x:v>Compteur de visée, vitesse, durée de vie et braquage du projectile.</x:v>
      </x:c>
      <x:c r="C69" s="61" t="str">
        <x:v>094111BCh</x:v>
      </x:c>
      <x:c r="D69" s="61" t="str">
        <x:v>002D74BCh</x:v>
      </x:c>
      <x:c r="E69" s="61" t="str">
        <x:v>3E20D97Ch</x:v>
      </x:c>
      <x:c r="F69" s="61" t="str">
        <x:v>3DA0D97Ch</x:v>
      </x:c>
      <x:c r="G69" s="61" t="str">
        <x:v>float π/20 → π/40</x:v>
      </x:c>
      <x:c r="H69" s="61" t="str">
        <x:v>Braquage.</x:v>
      </x:c>
      <x:c r="I69" s="61" t="str">
        <x:v>data</x:v>
      </x:c>
      <x:c r="J69" s="61" t="str">
        <x:v>Non</x:v>
      </x:c>
      <x:c r="K69" s="61" t="str">
        <x:v>statically verified; requires in-game validation</x:v>
      </x:c>
      <x:c r="L69" s="61" t="str">
        <x:v>_L 0x20C111BC 0x3DA0D97C</x:v>
      </x:c>
    </x:row>
    <x:row r="70">
      <x:c r="A70" s="61" t="str">
        <x:v>Roquette Éclair / Shock Rocket</x:v>
      </x:c>
      <x:c r="B70" s="61" t="str">
        <x:v>Compteur de visée, vitesse, durée de vie et braquage du projectile.</x:v>
      </x:c>
      <x:c r="C70" s="61" t="str">
        <x:v>094111C4h</x:v>
      </x:c>
      <x:c r="D70" s="61" t="str">
        <x:v>002D74C4h</x:v>
      </x:c>
      <x:c r="E70" s="61" t="str">
        <x:v>42700000h</x:v>
      </x:c>
      <x:c r="F70" s="61" t="str">
        <x:v>42F00000h</x:v>
      </x:c>
      <x:c r="G70" s="61" t="str">
        <x:v>float 60 → 120</x:v>
      </x:c>
      <x:c r="H70" s="61" t="str">
        <x:v>Durée initiale A.</x:v>
      </x:c>
      <x:c r="I70" s="61" t="str">
        <x:v>data</x:v>
      </x:c>
      <x:c r="J70" s="61" t="str">
        <x:v>Non</x:v>
      </x:c>
      <x:c r="K70" s="61" t="str">
        <x:v>statically verified; requires in-game validation</x:v>
      </x:c>
      <x:c r="L70" s="61" t="str">
        <x:v>_L 0x20C111C4 0x42F00000</x:v>
      </x:c>
    </x:row>
    <x:row r="71">
      <x:c r="A71" s="61" t="str">
        <x:v>Roquette Éclair / Shock Rocket</x:v>
      </x:c>
      <x:c r="B71" s="61" t="str">
        <x:v>Compteur de visée, vitesse, durée de vie et braquage du projectile.</x:v>
      </x:c>
      <x:c r="C71" s="61" t="str">
        <x:v>094111D0h</x:v>
      </x:c>
      <x:c r="D71" s="61" t="str">
        <x:v>002D74D0h</x:v>
      </x:c>
      <x:c r="E71" s="61" t="str">
        <x:v>41700000h</x:v>
      </x:c>
      <x:c r="F71" s="61" t="str">
        <x:v>41F00000h</x:v>
      </x:c>
      <x:c r="G71" s="61" t="str">
        <x:v>float 15 → 30</x:v>
      </x:c>
      <x:c r="H71" s="61" t="str">
        <x:v>Durée initiale B.</x:v>
      </x:c>
      <x:c r="I71" s="61" t="str">
        <x:v>data</x:v>
      </x:c>
      <x:c r="J71" s="61" t="str">
        <x:v>Non</x:v>
      </x:c>
      <x:c r="K71" s="61" t="str">
        <x:v>statically verified; requires in-game validation</x:v>
      </x:c>
      <x:c r="L71" s="61" t="str">
        <x:v>_L 0x20C111D0 0x41F00000</x:v>
      </x:c>
    </x:row>
    <x:row r="72">
      <x:c r="A72" s="61" t="str">
        <x:v>Mine de Sniper / Sniper Mine</x:v>
      </x:c>
      <x:c r="B72" s="61" t="str">
        <x:v>Durées des états/armement ; déplacement laissé au socle de lissage tant qu’il n’est pas mesuré.</x:v>
      </x:c>
      <x:c r="C72" s="61" t="str">
        <x:v>09266B80h</x:v>
      </x:c>
      <x:c r="D72" s="61" t="str">
        <x:v>0012CE80h</x:v>
      </x:c>
      <x:c r="E72" s="61" t="str">
        <x:v>3C04BF80h</x:v>
      </x:c>
      <x:c r="F72" s="61" t="str">
        <x:v>3C04BF00h</x:v>
      </x:c>
      <x:c r="G72" s="61" t="str">
        <x:v>lui a0,-1.0 → -0.5</x:v>
      </x:c>
      <x:c r="H72" s="61" t="str">
        <x:v>Âge état A.</x:v>
      </x:c>
      <x:c r="I72" s="61" t="str">
        <x:v>code</x:v>
      </x:c>
      <x:c r="J72" s="61" t="str">
        <x:v>Non</x:v>
      </x:c>
      <x:c r="K72" s="61" t="str">
        <x:v>statically verified; requires in-game validation</x:v>
      </x:c>
      <x:c r="L72" s="61" t="str">
        <x:v>_L 0x20A66B80 0x3C04BF00</x:v>
      </x:c>
    </x:row>
    <x:row r="73">
      <x:c r="A73" s="61" t="str">
        <x:v>Mine de Sniper / Sniper Mine</x:v>
      </x:c>
      <x:c r="B73" s="61" t="str">
        <x:v>Durées des états/armement ; déplacement laissé au socle de lissage tant qu’il n’est pas mesuré.</x:v>
      </x:c>
      <x:c r="C73" s="61" t="str">
        <x:v>09267F08h</x:v>
      </x:c>
      <x:c r="D73" s="61" t="str">
        <x:v>0012E208h</x:v>
      </x:c>
      <x:c r="E73" s="61" t="str">
        <x:v>3C04BF80h</x:v>
      </x:c>
      <x:c r="F73" s="61" t="str">
        <x:v>3C04BF00h</x:v>
      </x:c>
      <x:c r="G73" s="61" t="str">
        <x:v>lui a0,-1.0 → -0.5</x:v>
      </x:c>
      <x:c r="H73" s="61" t="str">
        <x:v>Âge état B.</x:v>
      </x:c>
      <x:c r="I73" s="61" t="str">
        <x:v>code</x:v>
      </x:c>
      <x:c r="J73" s="61" t="str">
        <x:v>Non</x:v>
      </x:c>
      <x:c r="K73" s="61" t="str">
        <x:v>statically verified; requires in-game validation</x:v>
      </x:c>
      <x:c r="L73" s="61" t="str">
        <x:v>_L 0x20A67F08 0x3C04BF00</x:v>
      </x:c>
    </x:row>
    <x:row r="74">
      <x:c r="A74" s="61" t="str">
        <x:v>Mine de Sniper / Sniper Mine</x:v>
      </x:c>
      <x:c r="B74" s="61" t="str">
        <x:v>Durées des états/armement ; déplacement laissé au socle de lissage tant qu’il n’est pas mesuré.</x:v>
      </x:c>
      <x:c r="C74" s="61" t="str">
        <x:v>092673A0h</x:v>
      </x:c>
      <x:c r="D74" s="61" t="str">
        <x:v>0012D6A0h</x:v>
      </x:c>
      <x:c r="E74" s="61" t="str">
        <x:v>3C043F80h</x:v>
      </x:c>
      <x:c r="F74" s="61" t="str">
        <x:v>3C043F00h</x:v>
      </x:c>
      <x:c r="G74" s="61" t="str">
        <x:v>lui a0,1.0 → 0.5</x:v>
      </x:c>
      <x:c r="H74" s="61" t="str">
        <x:v>Compteur privé +0x24, chemin A.</x:v>
      </x:c>
      <x:c r="I74" s="61" t="str">
        <x:v>code</x:v>
      </x:c>
      <x:c r="J74" s="61" t="str">
        <x:v>Non</x:v>
      </x:c>
      <x:c r="K74" s="61" t="str">
        <x:v>statically verified; requires in-game validation</x:v>
      </x:c>
      <x:c r="L74" s="61" t="str">
        <x:v>_L 0x20A673A0 0x3C043F00</x:v>
      </x:c>
    </x:row>
    <x:row r="75">
      <x:c r="A75" s="61" t="str">
        <x:v>Mine de Sniper / Sniper Mine</x:v>
      </x:c>
      <x:c r="B75" s="61" t="str">
        <x:v>Durées des états/armement ; déplacement laissé au socle de lissage tant qu’il n’est pas mesuré.</x:v>
      </x:c>
      <x:c r="C75" s="61" t="str">
        <x:v>09267414h</x:v>
      </x:c>
      <x:c r="D75" s="61" t="str">
        <x:v>0012D714h</x:v>
      </x:c>
      <x:c r="E75" s="61" t="str">
        <x:v>3C043F80h</x:v>
      </x:c>
      <x:c r="F75" s="61" t="str">
        <x:v>3C043F00h</x:v>
      </x:c>
      <x:c r="G75" s="61" t="str">
        <x:v>lui a0,1.0 → 0.5</x:v>
      </x:c>
      <x:c r="H75" s="61" t="str">
        <x:v>Compteur privé +0x24, chemin B.</x:v>
      </x:c>
      <x:c r="I75" s="61" t="str">
        <x:v>code</x:v>
      </x:c>
      <x:c r="J75" s="61" t="str">
        <x:v>Non</x:v>
      </x:c>
      <x:c r="K75" s="61" t="str">
        <x:v>statically verified; requires in-game validation</x:v>
      </x:c>
      <x:c r="L75" s="61" t="str">
        <x:v>_L 0x20A67414 0x3C043F00</x:v>
      </x:c>
    </x:row>
    <x:row r="76">
      <x:c r="A76" s="61" t="str">
        <x:v>Incinérator / Scorcher</x:v>
      </x:c>
      <x:c r="B76" s="61" t="str">
        <x:v>Temps/munitions et scan de dégâts ramenés à la cadence 30 Hz.</x:v>
      </x:c>
      <x:c r="C76" s="61" t="str">
        <x:v>09275660h</x:v>
      </x:c>
      <x:c r="D76" s="61" t="str">
        <x:v>0013B960h</x:v>
      </x:c>
      <x:c r="E76" s="61" t="str">
        <x:v>3C043F80h</x:v>
      </x:c>
      <x:c r="F76" s="61" t="str">
        <x:v>3C043F00h</x:v>
      </x:c>
      <x:c r="G76" s="61" t="str">
        <x:v>lui a0,1.0 → 0.5</x:v>
      </x:c>
      <x:c r="H76" s="61" t="str">
        <x:v>Âge et accumulateur de munitions.</x:v>
      </x:c>
      <x:c r="I76" s="61" t="str">
        <x:v>code</x:v>
      </x:c>
      <x:c r="J76" s="61" t="str">
        <x:v>Non</x:v>
      </x:c>
      <x:c r="K76" s="61" t="str">
        <x:v>statically verified; requires in-game validation</x:v>
      </x:c>
      <x:c r="L76" s="61" t="str">
        <x:v>_L 0x20A75660 0x3C043F00</x:v>
      </x:c>
    </x:row>
    <x:row r="77">
      <x:c r="A77" s="61" t="str">
        <x:v>Incinérator / Scorcher</x:v>
      </x:c>
      <x:c r="B77" s="61" t="str">
        <x:v>Temps/munitions et scan de dégâts ramenés à la cadence 30 Hz.</x:v>
      </x:c>
      <x:c r="C77" s="61" t="str">
        <x:v>09275900h</x:v>
      </x:c>
      <x:c r="D77" s="61" t="str">
        <x:v>0013BC00h</x:v>
      </x:c>
      <x:c r="E77" s="61" t="str">
        <x:v>3C06BF80h</x:v>
      </x:c>
      <x:c r="F77" s="61" t="str">
        <x:v>3C06BF00h</x:v>
      </x:c>
      <x:c r="G77" s="61" t="str">
        <x:v>lui a2,-1.0 → -0.5</x:v>
      </x:c>
      <x:c r="H77" s="61" t="str">
        <x:v>Compteur secondaire.</x:v>
      </x:c>
      <x:c r="I77" s="61" t="str">
        <x:v>code</x:v>
      </x:c>
      <x:c r="J77" s="61" t="str">
        <x:v>Non</x:v>
      </x:c>
      <x:c r="K77" s="61" t="str">
        <x:v>statically verified; requires in-game validation</x:v>
      </x:c>
      <x:c r="L77" s="61" t="str">
        <x:v>_L 0x20A75900 0x3C06BF00</x:v>
      </x:c>
    </x:row>
    <x:row r="78">
      <x:c r="A78" s="61" t="str">
        <x:v>Incinérator / Scorcher</x:v>
      </x:c>
      <x:c r="B78" s="61" t="str">
        <x:v>Temps/munitions et scan de dégâts ramenés à la cadence 30 Hz.</x:v>
      </x:c>
      <x:c r="C78" s="61" t="str">
        <x:v>09275A58h</x:v>
      </x:c>
      <x:c r="D78" s="61" t="str">
        <x:v>0013BD58h</x:v>
      </x:c>
      <x:c r="E78" s="61" t="str">
        <x:v>34040003h</x:v>
      </x:c>
      <x:c r="F78" s="61" t="str">
        <x:v>34040006h</x:v>
      </x:c>
      <x:c r="G78" s="61" t="str">
        <x:v>ori a0,3 → ori a0,6</x:v>
      </x:c>
      <x:c r="H78" s="61" t="str">
        <x:v>Scan de dégâts modulo 3 → 6.</x:v>
      </x:c>
      <x:c r="I78" s="61" t="str">
        <x:v>code</x:v>
      </x:c>
      <x:c r="J78" s="61" t="str">
        <x:v>Non</x:v>
      </x:c>
      <x:c r="K78" s="61" t="str">
        <x:v>statically verified; requires in-game validation</x:v>
      </x:c>
      <x:c r="L78" s="61" t="str">
        <x:v>_L 0x20A75A58 0x34040006</x:v>
      </x:c>
    </x:row>
    <x:row r="79">
      <x:c r="A79" s="61" t="str">
        <x:v>Pisteur Laser / Laser Tracer</x:v>
      </x:c>
      <x:c r="B79" s="61" t="str">
        <x:v>Compteur privé et phases du rayon ; cadence collision/DPS à valider in situ.</x:v>
      </x:c>
      <x:c r="C79" s="61" t="str">
        <x:v>09282B04h</x:v>
      </x:c>
      <x:c r="D79" s="61" t="str">
        <x:v>00148E04h</x:v>
      </x:c>
      <x:c r="E79" s="61" t="str">
        <x:v>46146301h</x:v>
      </x:c>
      <x:c r="F79" s="61" t="str">
        <x:v>0A200B60h</x:v>
      </x:c>
      <x:c r="G79" s="61" t="str">
        <x:v>sub.s f12,f12,f20 → j cave</x:v>
      </x:c>
      <x:c r="H79" s="61" t="str">
        <x:v>Décrément privé sans altérer f20.</x:v>
      </x:c>
      <x:c r="I79" s="61" t="str">
        <x:v>hook</x:v>
      </x:c>
      <x:c r="J79" s="61" t="str">
        <x:v>Non</x:v>
      </x:c>
      <x:c r="K79" s="61" t="str">
        <x:v>statically verified; requires in-game validation</x:v>
      </x:c>
      <x:c r="L79" s="61" t="str">
        <x:v>_L 0x20A82B04 0x0A200B60</x:v>
      </x:c>
    </x:row>
    <x:row r="80">
      <x:c r="A80" s="61" t="str">
        <x:v>Pisteur Laser / Laser Tracer</x:v>
      </x:c>
      <x:c r="B80" s="61" t="str">
        <x:v>Compteur privé et phases du rayon ; cadence collision/DPS à valider in situ.</x:v>
      </x:c>
      <x:c r="C80" s="61" t="str">
        <x:v>09282B08h</x:v>
      </x:c>
      <x:c r="D80" s="61" t="str">
        <x:v>00148E08h</x:v>
      </x:c>
      <x:c r="E80" s="61" t="str">
        <x:v>E62C0008h</x:v>
      </x:c>
      <x:c r="F80" s="61" t="str">
        <x:v>00000000h</x:v>
      </x:c>
      <x:c r="G80" s="61" t="str">
        <x:v>swc1 f12,8(s1) → nop</x:v>
      </x:c>
      <x:c r="H80" s="61" t="str">
        <x:v>Stockage reproduit dans la cave.</x:v>
      </x:c>
      <x:c r="I80" s="61" t="str">
        <x:v>hook</x:v>
      </x:c>
      <x:c r="J80" s="61" t="str">
        <x:v>Non</x:v>
      </x:c>
      <x:c r="K80" s="61" t="str">
        <x:v>statically verified; requires in-game validation</x:v>
      </x:c>
      <x:c r="L80" s="61" t="str">
        <x:v>_L 0x20A82B08 0x00000000</x:v>
      </x:c>
    </x:row>
    <x:row r="81">
      <x:c r="A81" s="61" t="str">
        <x:v>Pisteur Laser / Laser Tracer</x:v>
      </x:c>
      <x:c r="B81" s="61" t="str">
        <x:v>Compteur privé et phases du rayon ; cadence collision/DPS à valider in situ.</x:v>
      </x:c>
      <x:c r="C81" s="61" t="str">
        <x:v>0940CAD4h</x:v>
      </x:c>
      <x:c r="D81" s="61" t="str">
        <x:v>002D2DD4h</x:v>
      </x:c>
      <x:c r="E81" s="61" t="str">
        <x:v>41700000h</x:v>
      </x:c>
      <x:c r="F81" s="61" t="str">
        <x:v>41F00000h</x:v>
      </x:c>
      <x:c r="G81" s="61" t="str">
        <x:v>float 15 → 30</x:v>
      </x:c>
      <x:c r="H81" s="61" t="str">
        <x:v>Dénominateur de phase.</x:v>
      </x:c>
      <x:c r="I81" s="61" t="str">
        <x:v>code</x:v>
      </x:c>
      <x:c r="J81" s="61" t="str">
        <x:v>Non</x:v>
      </x:c>
      <x:c r="K81" s="61" t="str">
        <x:v>statically verified; requires in-game validation</x:v>
      </x:c>
      <x:c r="L81" s="61" t="str">
        <x:v>_L 0x20C0CAD4 0x41F00000</x:v>
      </x:c>
    </x:row>
    <x:row r="82">
      <x:c r="A82" s="61" t="str">
        <x:v>Pisteur Laser / Laser Tracer</x:v>
      </x:c>
      <x:c r="B82" s="61" t="str">
        <x:v>Compteur privé et phases du rayon ; cadence collision/DPS à valider in situ.</x:v>
      </x:c>
      <x:c r="C82" s="61" t="str">
        <x:v>0940CAD8h</x:v>
      </x:c>
      <x:c r="D82" s="61" t="str">
        <x:v>002D2DD8h</x:v>
      </x:c>
      <x:c r="E82" s="61" t="str">
        <x:v>40C00000h</x:v>
      </x:c>
      <x:c r="F82" s="61" t="str">
        <x:v>41400000h</x:v>
      </x:c>
      <x:c r="G82" s="61" t="str">
        <x:v>float 6 → 12</x:v>
      </x:c>
      <x:c r="H82" s="61" t="str">
        <x:v>Dénominateur de phase.</x:v>
      </x:c>
      <x:c r="I82" s="61" t="str">
        <x:v>code</x:v>
      </x:c>
      <x:c r="J82" s="61" t="str">
        <x:v>Non</x:v>
      </x:c>
      <x:c r="K82" s="61" t="str">
        <x:v>statically verified; requires in-game validation</x:v>
      </x:c>
      <x:c r="L82" s="61" t="str">
        <x:v>_L 0x20C0CAD8 0x41400000</x:v>
      </x:c>
    </x:row>
    <x:row r="83">
      <x:c r="A83" s="61" t="str">
        <x:v>Aspiro-Canon / Suck Cannon</x:v>
      </x:c>
      <x:c r="B83" s="61" t="str">
        <x:v>Trois timers d’aspiration, rangement, vitesse et vie du projectile restitué.</x:v>
      </x:c>
      <x:c r="C83" s="61" t="str">
        <x:v>092B02B4h</x:v>
      </x:c>
      <x:c r="D83" s="61" t="str">
        <x:v>001765B4h</x:v>
      </x:c>
      <x:c r="E83" s="61" t="str">
        <x:v>C62C0010h</x:v>
      </x:c>
      <x:c r="F83" s="61" t="str">
        <x:v>0A200B70h</x:v>
      </x:c>
      <x:c r="G83" s="61" t="str">
        <x:v>lwc1 f12,0x10(s1) → j cave</x:v>
      </x:c>
      <x:c r="H83" s="61" t="str">
        <x:v>Entrée des trois timers.</x:v>
      </x:c>
      <x:c r="I83" s="61" t="str">
        <x:v>hook</x:v>
      </x:c>
      <x:c r="J83" s="61" t="str">
        <x:v>Non</x:v>
      </x:c>
      <x:c r="K83" s="61" t="str">
        <x:v>statically verified; requires in-game validation</x:v>
      </x:c>
      <x:c r="L83" s="61" t="str">
        <x:v>_L 0x20AB02B4 0x0A200B70</x:v>
      </x:c>
    </x:row>
    <x:row r="84">
      <x:c r="A84" s="61" t="str">
        <x:v>Aspiro-Canon / Suck Cannon</x:v>
      </x:c>
      <x:c r="B84" s="61" t="str">
        <x:v>Trois timers d’aspiration, rangement, vitesse et vie du projectile restitué.</x:v>
      </x:c>
      <x:c r="C84" s="61" t="str">
        <x:v>092B02B8h</x:v>
      </x:c>
      <x:c r="D84" s="61" t="str">
        <x:v>001765B8h</x:v>
      </x:c>
      <x:c r="E84" s="61" t="str">
        <x:v>46166301h</x:v>
      </x:c>
      <x:c r="F84" s="61" t="str">
        <x:v>00000000h</x:v>
      </x:c>
      <x:c r="G84" s="61" t="str">
        <x:v>sub.s f12,f12,f22 → nop</x:v>
      </x:c>
      <x:c r="H84" s="61" t="str">
        <x:v>Delay slot neutralisé.</x:v>
      </x:c>
      <x:c r="I84" s="61" t="str">
        <x:v>hook</x:v>
      </x:c>
      <x:c r="J84" s="61" t="str">
        <x:v>Non</x:v>
      </x:c>
      <x:c r="K84" s="61" t="str">
        <x:v>statically verified; requires in-game validation</x:v>
      </x:c>
      <x:c r="L84" s="61" t="str">
        <x:v>_L 0x20AB02B8 0x00000000</x:v>
      </x:c>
    </x:row>
    <x:row r="85">
      <x:c r="A85" s="61" t="str">
        <x:v>Aspiro-Canon / Suck Cannon</x:v>
      </x:c>
      <x:c r="B85" s="61" t="str">
        <x:v>Trois timers d’aspiration, rangement, vitesse et vie du projectile restitué.</x:v>
      </x:c>
      <x:c r="C85" s="61" t="str">
        <x:v>09411B80h</x:v>
      </x:c>
      <x:c r="D85" s="61" t="str">
        <x:v>002D7E80h</x:v>
      </x:c>
      <x:c r="E85" s="61" t="str">
        <x:v>3E19999Ah</x:v>
      </x:c>
      <x:c r="F85" s="61" t="str">
        <x:v>3D99999Ah</x:v>
      </x:c>
      <x:c r="G85" s="61" t="str">
        <x:v>float 0.15 → 0.075</x:v>
      </x:c>
      <x:c r="H85" s="61" t="str">
        <x:v>Interpolation du rangement.</x:v>
      </x:c>
      <x:c r="I85" s="61" t="str">
        <x:v>data</x:v>
      </x:c>
      <x:c r="J85" s="61" t="str">
        <x:v>Non</x:v>
      </x:c>
      <x:c r="K85" s="61" t="str">
        <x:v>statically verified; requires in-game validation</x:v>
      </x:c>
      <x:c r="L85" s="61" t="str">
        <x:v>_L 0x20C11B80 0x3D99999A</x:v>
      </x:c>
    </x:row>
    <x:row r="86">
      <x:c r="A86" s="61" t="str">
        <x:v>Aspiro-Canon / Suck Cannon</x:v>
      </x:c>
      <x:c r="B86" s="61" t="str">
        <x:v>Trois timers d’aspiration, rangement, vitesse et vie du projectile restitué.</x:v>
      </x:c>
      <x:c r="C86" s="61" t="str">
        <x:v>09414404h</x:v>
      </x:c>
      <x:c r="D86" s="61" t="str">
        <x:v>002DA704h</x:v>
      </x:c>
      <x:c r="E86" s="61" t="str">
        <x:v>41F00000h</x:v>
      </x:c>
      <x:c r="F86" s="61" t="str">
        <x:v>42700000h</x:v>
      </x:c>
      <x:c r="G86" s="61" t="str">
        <x:v>float 30 → 60</x:v>
      </x:c>
      <x:c r="H86" s="61" t="str">
        <x:v>Vie du SuckCannonComet.</x:v>
      </x:c>
      <x:c r="I86" s="61" t="str">
        <x:v>data</x:v>
      </x:c>
      <x:c r="J86" s="61" t="str">
        <x:v>Non</x:v>
      </x:c>
      <x:c r="K86" s="61" t="str">
        <x:v>statically verified; requires in-game validation</x:v>
      </x:c>
      <x:c r="L86" s="61" t="str">
        <x:v>_L 0x20C14404 0x42700000</x:v>
      </x:c>
    </x:row>
    <x:row r="87">
      <x:c r="A87" s="61" t="str">
        <x:v>Aspiro-Canon / Suck Cannon</x:v>
      </x:c>
      <x:c r="B87" s="61" t="str">
        <x:v>Trois timers d’aspiration, rangement, vitesse et vie du projectile restitué.</x:v>
      </x:c>
      <x:c r="C87" s="61" t="str">
        <x:v>092D4CC8h</x:v>
      </x:c>
      <x:c r="D87" s="61" t="str">
        <x:v>0019AFC8h</x:v>
      </x:c>
      <x:c r="E87" s="61" t="str">
        <x:v>C6EC0008h</x:v>
      </x:c>
      <x:c r="F87" s="61" t="str">
        <x:v>0A200BA0h</x:v>
      </x:c>
      <x:c r="G87" s="61" t="str">
        <x:v>lwc1 f12,8(s7) → j cave</x:v>
      </x:c>
      <x:c r="H87" s="61" t="str">
        <x:v>Vitesse du projectile restitué.</x:v>
      </x:c>
      <x:c r="I87" s="61" t="str">
        <x:v>hook</x:v>
      </x:c>
      <x:c r="J87" s="61" t="str">
        <x:v>Non</x:v>
      </x:c>
      <x:c r="K87" s="61" t="str">
        <x:v>statically verified; requires in-game validation</x:v>
      </x:c>
      <x:c r="L87" s="61" t="str">
        <x:v>_L 0x20AD4CC8 0x0A200BA0</x:v>
      </x:c>
    </x:row>
    <x:row r="88">
      <x:c r="A88" s="61" t="str">
        <x:v>Aspiro-Canon / Suck Cannon</x:v>
      </x:c>
      <x:c r="B88" s="61" t="str">
        <x:v>Trois timers d’aspiration, rangement, vitesse et vie du projectile restitué.</x:v>
      </x:c>
      <x:c r="C88" s="61" t="str">
        <x:v>092D4CCCh</x:v>
      </x:c>
      <x:c r="D88" s="61" t="str">
        <x:v>0019AFCCh</x:v>
      </x:c>
      <x:c r="E88" s="61" t="str">
        <x:v>C7CD0010h</x:v>
      </x:c>
      <x:c r="F88" s="61" t="str">
        <x:v>00000000h</x:v>
      </x:c>
      <x:c r="G88" s="61" t="str">
        <x:v>lwc1 f13,0x10(fp) → nop</x:v>
      </x:c>
      <x:c r="H88" s="61" t="str">
        <x:v>Instruction reproduite dans la cave.</x:v>
      </x:c>
      <x:c r="I88" s="61" t="str">
        <x:v>hook</x:v>
      </x:c>
      <x:c r="J88" s="61" t="str">
        <x:v>Non</x:v>
      </x:c>
      <x:c r="K88" s="61" t="str">
        <x:v>statically verified; requires in-game validation</x:v>
      </x:c>
      <x:c r="L88" s="61" t="str">
        <x:v>_L 0x20AD4CCC 0x00000000</x:v>
      </x:c>
    </x:row>
    <x:row r="89">
      <x:c r="A89" s="61" t="str">
        <x:v>Bovinator / Mootator</x:v>
      </x:c>
      <x:c r="B89" s="61" t="str">
        <x:v>Progression de transformation divisée par deux ; retarget delta-based intact.</x:v>
      </x:c>
      <x:c r="C89" s="61" t="str">
        <x:v>0940F2D8h</x:v>
      </x:c>
      <x:c r="D89" s="61" t="str">
        <x:v>002D55D8h</x:v>
      </x:c>
      <x:c r="E89" s="61" t="str">
        <x:v>3BF2B9D6h</x:v>
      </x:c>
      <x:c r="F89" s="61" t="str">
        <x:v>3B72B9D6h</x:v>
      </x:c>
      <x:c r="G89" s="61" t="str">
        <x:v>float ≈1/135 → ≈1/270</x:v>
      </x:c>
      <x:c r="H89" s="61" t="str">
        <x:v>Progression niveau 1.</x:v>
      </x:c>
      <x:c r="I89" s="61" t="str">
        <x:v>data</x:v>
      </x:c>
      <x:c r="J89" s="61" t="str">
        <x:v>Non</x:v>
      </x:c>
      <x:c r="K89" s="61" t="str">
        <x:v>statically verified; requires in-game validation</x:v>
      </x:c>
      <x:c r="L89" s="61" t="str">
        <x:v>_L 0x20C0F2D8 0x3B72B9D6</x:v>
      </x:c>
    </x:row>
    <x:row r="90">
      <x:c r="A90" s="61" t="str">
        <x:v>Bovinator / Mootator</x:v>
      </x:c>
      <x:c r="B90" s="61" t="str">
        <x:v>Progression de transformation divisée par deux ; retarget delta-based intact.</x:v>
      </x:c>
      <x:c r="C90" s="61" t="str">
        <x:v>0940F2DCh</x:v>
      </x:c>
      <x:c r="D90" s="61" t="str">
        <x:v>002D55DCh</x:v>
      </x:c>
      <x:c r="E90" s="61" t="str">
        <x:v>3C360B61h</x:v>
      </x:c>
      <x:c r="F90" s="61" t="str">
        <x:v>3BB60B61h</x:v>
      </x:c>
      <x:c r="G90" s="61" t="str">
        <x:v>float ≈1/90 → ≈1/180</x:v>
      </x:c>
      <x:c r="H90" s="61" t="str">
        <x:v>Progression niveau 2.</x:v>
      </x:c>
      <x:c r="I90" s="61" t="str">
        <x:v>data</x:v>
      </x:c>
      <x:c r="J90" s="61" t="str">
        <x:v>Non</x:v>
      </x:c>
      <x:c r="K90" s="61" t="str">
        <x:v>statically verified; requires in-game validation</x:v>
      </x:c>
      <x:c r="L90" s="61" t="str">
        <x:v>_L 0x20C0F2DC 0x3BB60B61</x:v>
      </x:c>
    </x:row>
    <x:row r="91">
      <x:c r="A91" s="61" t="str">
        <x:v>Bovinator / Mootator</x:v>
      </x:c>
      <x:c r="B91" s="61" t="str">
        <x:v>Progression de transformation divisée par deux ; retarget delta-based intact.</x:v>
      </x:c>
      <x:c r="C91" s="61" t="str">
        <x:v>0940F2E0h</x:v>
      </x:c>
      <x:c r="D91" s="61" t="str">
        <x:v>002D55E0h</x:v>
      </x:c>
      <x:c r="E91" s="61" t="str">
        <x:v>3C888889h</x:v>
      </x:c>
      <x:c r="F91" s="61" t="str">
        <x:v>3C088889h</x:v>
      </x:c>
      <x:c r="G91" s="61" t="str">
        <x:v>float ≈1/60 → ≈1/120</x:v>
      </x:c>
      <x:c r="H91" s="61" t="str">
        <x:v>Progression niveau 3.</x:v>
      </x:c>
      <x:c r="I91" s="61" t="str">
        <x:v>data</x:v>
      </x:c>
      <x:c r="J91" s="61" t="str">
        <x:v>Non</x:v>
      </x:c>
      <x:c r="K91" s="61" t="str">
        <x:v>statically verified; requires in-game validation</x:v>
      </x:c>
      <x:c r="L91" s="61" t="str">
        <x:v>_L 0x20C0F2E0 0x3C088889</x:v>
      </x:c>
    </x:row>
    <x:row r="92">
      <x:c r="A92" s="61" t="str">
        <x:v>Bovinator / Mootator</x:v>
      </x:c>
      <x:c r="B92" s="61" t="str">
        <x:v>Progression de transformation divisée par deux ; retarget delta-based intact.</x:v>
      </x:c>
      <x:c r="C92" s="61" t="str">
        <x:v>0940F2E4h</x:v>
      </x:c>
      <x:c r="D92" s="61" t="str">
        <x:v>002D55E4h</x:v>
      </x:c>
      <x:c r="E92" s="61" t="str">
        <x:v>3D088889h</x:v>
      </x:c>
      <x:c r="F92" s="61" t="str">
        <x:v>3C888889h</x:v>
      </x:c>
      <x:c r="G92" s="61" t="str">
        <x:v>float ≈1/30 → ≈1/60</x:v>
      </x:c>
      <x:c r="H92" s="61" t="str">
        <x:v>Progression niveau 4.</x:v>
      </x:c>
      <x:c r="I92" s="61" t="str">
        <x:v>data</x:v>
      </x:c>
      <x:c r="J92" s="61" t="str">
        <x:v>Non</x:v>
      </x:c>
      <x:c r="K92" s="61" t="str">
        <x:v>statically verified; requires in-game validation</x:v>
      </x:c>
      <x:c r="L92" s="61" t="str">
        <x:v>_L 0x20C0F2E4 0x3C888889</x:v>
      </x:c>
    </x:row>
    <x:row r="93">
      <x:c r="A93" s="61" t="str">
        <x:v>Bovinator / Mootator</x:v>
      </x:c>
      <x:c r="B93" s="61" t="str">
        <x:v>Progression de transformation divisée par deux ; retarget delta-based intact.</x:v>
      </x:c>
      <x:c r="C93" s="61" t="str">
        <x:v>0940F2E8h</x:v>
      </x:c>
      <x:c r="D93" s="61" t="str">
        <x:v>002D55E8h</x:v>
      </x:c>
      <x:c r="E93" s="61" t="str">
        <x:v>3D088889h</x:v>
      </x:c>
      <x:c r="F93" s="61" t="str">
        <x:v>3C888889h</x:v>
      </x:c>
      <x:c r="G93" s="61" t="str">
        <x:v>float ≈1/30 → ≈1/60</x:v>
      </x:c>
      <x:c r="H93" s="61" t="str">
        <x:v>Progression niveau 5.</x:v>
      </x:c>
      <x:c r="I93" s="61" t="str">
        <x:v>data</x:v>
      </x:c>
      <x:c r="J93" s="61" t="str">
        <x:v>Non</x:v>
      </x:c>
      <x:c r="K93" s="61" t="str">
        <x:v>statically verified; requires in-game validation</x:v>
      </x:c>
      <x:c r="L93" s="61" t="str">
        <x:v>_L 0x20C0F2E8 0x3C888889</x:v>
      </x:c>
    </x:row>
    <x:row r="94">
      <x:c r="A94" s="61" t="str">
        <x:v>Bovinator / Mootator</x:v>
      </x:c>
      <x:c r="B94" s="61" t="str">
        <x:v>Progression de transformation divisée par deux ; retarget delta-based intact.</x:v>
      </x:c>
      <x:c r="C94" s="61" t="str">
        <x:v>0940F2ECh</x:v>
      </x:c>
      <x:c r="D94" s="61" t="str">
        <x:v>002D55ECh</x:v>
      </x:c>
      <x:c r="E94" s="61" t="str">
        <x:v>3D088889h</x:v>
      </x:c>
      <x:c r="F94" s="61" t="str">
        <x:v>3C888889h</x:v>
      </x:c>
      <x:c r="G94" s="61" t="str">
        <x:v>float ≈1/30 → ≈1/60</x:v>
      </x:c>
      <x:c r="H94" s="61" t="str">
        <x:v>Progression niveau 6.</x:v>
      </x:c>
      <x:c r="I94" s="61" t="str">
        <x:v>data</x:v>
      </x:c>
      <x:c r="J94" s="61" t="str">
        <x:v>Non</x:v>
      </x:c>
      <x:c r="K94" s="61" t="str">
        <x:v>statically verified; requires in-game validation</x:v>
      </x:c>
      <x:c r="L94" s="61" t="str">
        <x:v>_L 0x20C0F2EC 0x3C888889</x:v>
      </x:c>
    </x:row>
    <x:row r="95">
      <x:c r="A95" s="61" t="str">
        <x:v>Bovinator / Mootator</x:v>
      </x:c>
      <x:c r="B95" s="61" t="str">
        <x:v>Progression de transformation divisée par deux ; retarget delta-based intact.</x:v>
      </x:c>
      <x:c r="C95" s="61" t="str">
        <x:v>0940F2F0h</x:v>
      </x:c>
      <x:c r="D95" s="61" t="str">
        <x:v>002D55F0h</x:v>
      </x:c>
      <x:c r="E95" s="61" t="str">
        <x:v>3D088889h</x:v>
      </x:c>
      <x:c r="F95" s="61" t="str">
        <x:v>3C888889h</x:v>
      </x:c>
      <x:c r="G95" s="61" t="str">
        <x:v>float ≈1/30 → ≈1/60</x:v>
      </x:c>
      <x:c r="H95" s="61" t="str">
        <x:v>Progression niveau 7.</x:v>
      </x:c>
      <x:c r="I95" s="61" t="str">
        <x:v>data</x:v>
      </x:c>
      <x:c r="J95" s="61" t="str">
        <x:v>Non</x:v>
      </x:c>
      <x:c r="K95" s="61" t="str">
        <x:v>statically verified; requires in-game validation</x:v>
      </x:c>
      <x:c r="L95" s="61" t="str">
        <x:v>_L 0x20C0F2F0 0x3C888889</x:v>
      </x:c>
    </x:row>
    <x:row r="96">
      <x:c r="A96" s="61" t="str">
        <x:v>Bovinator / Mootator</x:v>
      </x:c>
      <x:c r="B96" s="61" t="str">
        <x:v>Progression de transformation divisée par deux ; retarget delta-based intact.</x:v>
      </x:c>
      <x:c r="C96" s="61" t="str">
        <x:v>0940F2F4h</x:v>
      </x:c>
      <x:c r="D96" s="61" t="str">
        <x:v>002D55F4h</x:v>
      </x:c>
      <x:c r="E96" s="61" t="str">
        <x:v>3D088889h</x:v>
      </x:c>
      <x:c r="F96" s="61" t="str">
        <x:v>3C888889h</x:v>
      </x:c>
      <x:c r="G96" s="61" t="str">
        <x:v>float ≈1/30 → ≈1/60</x:v>
      </x:c>
      <x:c r="H96" s="61" t="str">
        <x:v>Progression niveau 8.</x:v>
      </x:c>
      <x:c r="I96" s="61" t="str">
        <x:v>data</x:v>
      </x:c>
      <x:c r="J96" s="61" t="str">
        <x:v>Non</x:v>
      </x:c>
      <x:c r="K96" s="61" t="str">
        <x:v>statically verified; requires in-game validation</x:v>
      </x:c>
      <x:c r="L96" s="61" t="str">
        <x:v>_L 0x20C0F2F4 0x3C888889</x:v>
      </x:c>
    </x:row>
    <x:row r="97">
      <x:c r="A97" s="61" t="str">
        <x:v>T.E.L.T. / R.Y.N.O.</x:v>
      </x:c>
      <x:c r="B97" s="61" t="str">
        <x:v>Cadence de salve, âge, vitesse et braquage des roquettes.</x:v>
      </x:c>
      <x:c r="C97" s="61" t="str">
        <x:v>092A29F8h</x:v>
      </x:c>
      <x:c r="D97" s="61" t="str">
        <x:v>00168CF8h</x:v>
      </x:c>
      <x:c r="E97" s="61" t="str">
        <x:v>3C04BF80h</x:v>
      </x:c>
      <x:c r="F97" s="61" t="str">
        <x:v>3C04BF00h</x:v>
      </x:c>
      <x:c r="G97" s="61" t="str">
        <x:v>lui a0,-1.0 → -0.5</x:v>
      </x:c>
      <x:c r="H97" s="61" t="str">
        <x:v>Compteur de salve.</x:v>
      </x:c>
      <x:c r="I97" s="61" t="str">
        <x:v>code</x:v>
      </x:c>
      <x:c r="J97" s="61" t="str">
        <x:v>Non</x:v>
      </x:c>
      <x:c r="K97" s="61" t="str">
        <x:v>statically verified; requires in-game validation</x:v>
      </x:c>
      <x:c r="L97" s="61" t="str">
        <x:v>_L 0x20AA29F8 0x3C04BF00</x:v>
      </x:c>
    </x:row>
    <x:row r="98">
      <x:c r="A98" s="61" t="str">
        <x:v>T.E.L.T. / R.Y.N.O.</x:v>
      </x:c>
      <x:c r="B98" s="61" t="str">
        <x:v>Cadence de salve, âge, vitesse et braquage des roquettes.</x:v>
      </x:c>
      <x:c r="C98" s="61" t="str">
        <x:v>092A33A0h</x:v>
      </x:c>
      <x:c r="D98" s="61" t="str">
        <x:v>001696A0h</x:v>
      </x:c>
      <x:c r="E98" s="61" t="str">
        <x:v>3C053F80h</x:v>
      </x:c>
      <x:c r="F98" s="61" t="str">
        <x:v>3C053F00h</x:v>
      </x:c>
      <x:c r="G98" s="61" t="str">
        <x:v>lui a1,1.0 → 0.5</x:v>
      </x:c>
      <x:c r="H98" s="61" t="str">
        <x:v>Âge roquette.</x:v>
      </x:c>
      <x:c r="I98" s="61" t="str">
        <x:v>code</x:v>
      </x:c>
      <x:c r="J98" s="61" t="str">
        <x:v>Non</x:v>
      </x:c>
      <x:c r="K98" s="61" t="str">
        <x:v>statically verified; requires in-game validation</x:v>
      </x:c>
      <x:c r="L98" s="61" t="str">
        <x:v>_L 0x20AA33A0 0x3C053F00</x:v>
      </x:c>
    </x:row>
    <x:row r="99">
      <x:c r="A99" s="61" t="str">
        <x:v>T.E.L.T. / R.Y.N.O.</x:v>
      </x:c>
      <x:c r="B99" s="61" t="str">
        <x:v>Cadence de salve, âge, vitesse et braquage des roquettes.</x:v>
      </x:c>
      <x:c r="C99" s="61" t="str">
        <x:v>09410898h</x:v>
      </x:c>
      <x:c r="D99" s="61" t="str">
        <x:v>002D6B98h</x:v>
      </x:c>
      <x:c r="E99" s="61" t="str">
        <x:v>3F19999Ah</x:v>
      </x:c>
      <x:c r="F99" s="61" t="str">
        <x:v>3E99999Ah</x:v>
      </x:c>
      <x:c r="G99" s="61" t="str">
        <x:v>float 0.6 → 0.3</x:v>
      </x:c>
      <x:c r="H99" s="61" t="str">
        <x:v>Vitesse roquette.</x:v>
      </x:c>
      <x:c r="I99" s="61" t="str">
        <x:v>data</x:v>
      </x:c>
      <x:c r="J99" s="61" t="str">
        <x:v>Non</x:v>
      </x:c>
      <x:c r="K99" s="61" t="str">
        <x:v>statically verified; requires in-game validation</x:v>
      </x:c>
      <x:c r="L99" s="61" t="str">
        <x:v>_L 0x20C10898 0x3E99999A</x:v>
      </x:c>
    </x:row>
    <x:row r="100">
      <x:c r="A100" s="61" t="str">
        <x:v>T.E.L.T. / R.Y.N.O.</x:v>
      </x:c>
      <x:c r="B100" s="61" t="str">
        <x:v>Cadence de salve, âge, vitesse et braquage des roquettes.</x:v>
      </x:c>
      <x:c r="C100" s="61" t="str">
        <x:v>09410880h</x:v>
      </x:c>
      <x:c r="D100" s="61" t="str">
        <x:v>002D6B80h</x:v>
      </x:c>
      <x:c r="E100" s="61" t="str">
        <x:v>3EC19D7Fh</x:v>
      </x:c>
      <x:c r="F100" s="61" t="str">
        <x:v>3E419D7Fh</x:v>
      </x:c>
      <x:c r="G100" s="61" t="str">
        <x:v>float 0.3781547 → 0.1890774</x:v>
      </x:c>
      <x:c r="H100" s="61" t="str">
        <x:v>Braquage A.</x:v>
      </x:c>
      <x:c r="I100" s="61" t="str">
        <x:v>data</x:v>
      </x:c>
      <x:c r="J100" s="61" t="str">
        <x:v>Non</x:v>
      </x:c>
      <x:c r="K100" s="61" t="str">
        <x:v>statically verified; requires in-game validation</x:v>
      </x:c>
      <x:c r="L100" s="61" t="str">
        <x:v>_L 0x20C10880 0x3E419D7F</x:v>
      </x:c>
    </x:row>
    <x:row r="101">
      <x:c r="A101" s="61" t="str">
        <x:v>T.E.L.T. / R.Y.N.O.</x:v>
      </x:c>
      <x:c r="B101" s="61" t="str">
        <x:v>Cadence de salve, âge, vitesse et braquage des roquettes.</x:v>
      </x:c>
      <x:c r="C101" s="61" t="str">
        <x:v>09410884h</x:v>
      </x:c>
      <x:c r="D101" s="61" t="str">
        <x:v>002D6B84h</x:v>
      </x:c>
      <x:c r="E101" s="61" t="str">
        <x:v>3EC19D7Fh</x:v>
      </x:c>
      <x:c r="F101" s="61" t="str">
        <x:v>3E419D7Fh</x:v>
      </x:c>
      <x:c r="G101" s="61" t="str">
        <x:v>float 0.3781547 → 0.1890774</x:v>
      </x:c>
      <x:c r="H101" s="61" t="str">
        <x:v>Braquage A.</x:v>
      </x:c>
      <x:c r="I101" s="61" t="str">
        <x:v>data</x:v>
      </x:c>
      <x:c r="J101" s="61" t="str">
        <x:v>Non</x:v>
      </x:c>
      <x:c r="K101" s="61" t="str">
        <x:v>statically verified; requires in-game validation</x:v>
      </x:c>
      <x:c r="L101" s="61" t="str">
        <x:v>_L 0x20C10884 0x3E419D7F</x:v>
      </x:c>
    </x:row>
    <x:row r="102">
      <x:c r="A102" s="61" t="str">
        <x:v>T.E.L.T. / R.Y.N.O.</x:v>
      </x:c>
      <x:c r="B102" s="61" t="str">
        <x:v>Cadence de salve, âge, vitesse et braquage des roquettes.</x:v>
      </x:c>
      <x:c r="C102" s="61" t="str">
        <x:v>09410888h</x:v>
      </x:c>
      <x:c r="D102" s="61" t="str">
        <x:v>002D6B88h</x:v>
      </x:c>
      <x:c r="E102" s="61" t="str">
        <x:v>3F20D97Ch</x:v>
      </x:c>
      <x:c r="F102" s="61" t="str">
        <x:v>3EA0D97Ch</x:v>
      </x:c>
      <x:c r="G102" s="61" t="str">
        <x:v>float 0.6283185 → 0.3141593</x:v>
      </x:c>
      <x:c r="H102" s="61" t="str">
        <x:v>Braquage B.</x:v>
      </x:c>
      <x:c r="I102" s="61" t="str">
        <x:v>data</x:v>
      </x:c>
      <x:c r="J102" s="61" t="str">
        <x:v>Non</x:v>
      </x:c>
      <x:c r="K102" s="61" t="str">
        <x:v>statically verified; requires in-game validation</x:v>
      </x:c>
      <x:c r="L102" s="61" t="str">
        <x:v>_L 0x20C10888 0x3EA0D97C</x:v>
      </x:c>
    </x:row>
    <x:row r="103">
      <x:c r="A103" s="62" t="str">
        <x:v>T.E.L.T. / R.Y.N.O.</x:v>
      </x:c>
      <x:c r="B103" s="62" t="str">
        <x:v>Cadence de salve, âge, vitesse et braquage des roquettes.</x:v>
      </x:c>
      <x:c r="C103" s="62" t="str">
        <x:v>0941088Ch</x:v>
      </x:c>
      <x:c r="D103" s="62" t="str">
        <x:v>002D6B8Ch</x:v>
      </x:c>
      <x:c r="E103" s="62" t="str">
        <x:v>3F20D97Ch</x:v>
      </x:c>
      <x:c r="F103" s="62" t="str">
        <x:v>3EA0D97Ch</x:v>
      </x:c>
      <x:c r="G103" s="62" t="str">
        <x:v>float 0.6283185 → 0.3141593</x:v>
      </x:c>
      <x:c r="H103" s="62" t="str">
        <x:v>Braquage B.</x:v>
      </x:c>
      <x:c r="I103" s="62" t="str">
        <x:v>data</x:v>
      </x:c>
      <x:c r="J103" s="62" t="str">
        <x:v>Non</x:v>
      </x:c>
      <x:c r="K103" s="62" t="str">
        <x:v>statically verified; requires in-game validation</x:v>
      </x:c>
      <x:c r="L103" s="62" t="str">
        <x:v>_L 0x20C1088C 0x3EA0D97C</x:v>
      </x:c>
    </x:row>
  </x:sheetData>
  <x:mergeCells>
    <x:mergeCell ref="A1:L1"/>
    <x:mergeCell ref="A2:L2"/>
    <x:mergeCell ref="A21:L21"/>
  </x:mergeCells>
  <x:conditionalFormatting sqref="G6:G18">
    <x:cfRule type="containsText" dxfId="9" priority="1" operator="containsText" text="Élevée"/>
    <x:cfRule type="containsText" dxfId="10" priority="2" operator="containsText" text="Moyenne"/>
    <x:cfRule type="containsText" dxfId="11" priority="3" operator="containsText" text="Faible"/>
  </x:conditionalFormatting>
  <x:pageMargins left="0.7" right="0.7" top="0.75" bottom="0.75" header="0.3" footer="0.3"/>
  <x:tableParts count="2">
    <x:tablePart xmlns:r="http://schemas.openxmlformats.org/officeDocument/2006/relationships" r:id="R5371952b76584467"/>
    <x:tablePart xmlns:r="http://schemas.openxmlformats.org/officeDocument/2006/relationships" r:id="Rd2fd961aeb1848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" hidden="0" customWidth="1"/>
    <x:col min="3" max="3" width="17" hidden="0" customWidth="1"/>
    <x:col min="4" max="4" width="12" hidden="0" customWidth="1"/>
    <x:col min="5" max="5" width="16" hidden="0" customWidth="1"/>
    <x:col min="6" max="6" width="14" hidden="0" customWidth="1"/>
    <x:col min="7" max="7" width="16" hidden="0" customWidth="1"/>
    <x:col min="8" max="8" width="10" hidden="0" customWidth="1"/>
    <x:col min="9" max="9" width="14" hidden="0" customWidth="1"/>
    <x:col min="10" max="10" width="15" hidden="0" customWidth="1"/>
    <x:col min="11" max="11" width="12" hidden="0" customWidth="1"/>
  </x:cols>
  <x:sheetData>
    <x:row r="1" ht="32" customHeight="1">
      <x:c r="A1" s="3" t="str">
        <x:v>Mods d’armes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Records de 0x1C octets; le prix est stocké à +0x18.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0" customHeight="1">
      <x:c r="A5" s="47" t="str">
        <x:v>Arme</x:v>
      </x:c>
      <x:c r="B5" s="48" t="str">
        <x:v>Slot</x:v>
      </x:c>
      <x:c r="C5" s="48" t="str">
        <x:v>Record runtime</x:v>
      </x:c>
      <x:c r="D5" s="48" t="str">
        <x:v>ID interne</x:v>
      </x:c>
      <x:c r="E5" s="48" t="str">
        <x:v>Effet / condition</x:v>
      </x:c>
      <x:c r="F5" s="48" t="str">
        <x:v>ID texte nom</x:v>
      </x:c>
      <x:c r="G5" s="48" t="str">
        <x:v>ID description</x:v>
      </x:c>
      <x:c r="H5" s="48" t="str">
        <x:v>Icône</x:v>
      </x:c>
      <x:c r="I5" s="48" t="str">
        <x:v>Couleur</x:v>
      </x:c>
      <x:c r="J5" s="48" t="str">
        <x:v>Prix</x:v>
      </x:c>
      <x:c r="K5" s="49" t="str">
        <x:v>Confiance</x:v>
      </x:c>
    </x:row>
    <x:row r="6">
      <x:c r="A6" s="54" t="str">
        <x:v>Lacérator</x:v>
      </x:c>
      <x:c r="B6" s="63" t="n">
        <x:v>1</x:v>
      </x:c>
      <x:c r="C6" s="54" t="str">
        <x:v>093E6380h</x:v>
      </x:c>
      <x:c r="D6" s="63" t="n">
        <x:v>1</x:v>
      </x:c>
      <x:c r="E6" s="63" t="n">
        <x:v>1</x:v>
      </x:c>
      <x:c r="F6" s="63" t="n">
        <x:v>108</x:v>
      </x:c>
      <x:c r="G6" s="63" t="n">
        <x:v>593</x:v>
      </x:c>
      <x:c r="H6" s="63" t="n">
        <x:v>59</x:v>
      </x:c>
      <x:c r="I6" s="54" t="str">
        <x:v>FF00D8FFh</x:v>
      </x:c>
      <x:c r="J6" s="57" t="n">
        <x:v>30000</x:v>
      </x:c>
      <x:c r="K6" s="54" t="str">
        <x:v>Élevée</x:v>
      </x:c>
    </x:row>
    <x:row r="7">
      <x:c r="A7" s="55" t="str">
        <x:v>Lacérator</x:v>
      </x:c>
      <x:c r="B7" s="64" t="n">
        <x:v>2</x:v>
      </x:c>
      <x:c r="C7" s="55" t="str">
        <x:v>093E639Ch</x:v>
      </x:c>
      <x:c r="D7" s="64" t="n">
        <x:v>25</x:v>
      </x:c>
      <x:c r="E7" s="64" t="n">
        <x:v>25</x:v>
      </x:c>
      <x:c r="F7" s="64" t="n">
        <x:v>138</x:v>
      </x:c>
      <x:c r="G7" s="64" t="n">
        <x:v>623</x:v>
      </x:c>
      <x:c r="H7" s="64" t="n">
        <x:v>60</x:v>
      </x:c>
      <x:c r="I7" s="55" t="str">
        <x:v>FF00D8FFh</x:v>
      </x:c>
      <x:c r="J7" s="58" t="n">
        <x:v>5000</x:v>
      </x:c>
      <x:c r="K7" s="55" t="str">
        <x:v>Élevée</x:v>
      </x:c>
    </x:row>
    <x:row r="8">
      <x:c r="A8" s="55" t="str">
        <x:v>Tremblator</x:v>
      </x:c>
      <x:c r="B8" s="64" t="n">
        <x:v>1</x:v>
      </x:c>
      <x:c r="C8" s="55" t="str">
        <x:v>093E6638h</x:v>
      </x:c>
      <x:c r="D8" s="64" t="n">
        <x:v>3</x:v>
      </x:c>
      <x:c r="E8" s="64" t="n">
        <x:v>5</x:v>
      </x:c>
      <x:c r="F8" s="64" t="n">
        <x:v>114</x:v>
      </x:c>
      <x:c r="G8" s="64" t="n">
        <x:v>599</x:v>
      </x:c>
      <x:c r="H8" s="64" t="n">
        <x:v>59</x:v>
      </x:c>
      <x:c r="I8" s="55" t="str">
        <x:v>FFFFAA78h</x:v>
      </x:c>
      <x:c r="J8" s="58" t="n">
        <x:v>15000</x:v>
      </x:c>
      <x:c r="K8" s="55" t="str">
        <x:v>Élevée</x:v>
      </x:c>
    </x:row>
    <x:row r="9">
      <x:c r="A9" s="55" t="str">
        <x:v>Tremblator</x:v>
      </x:c>
      <x:c r="B9" s="64" t="n">
        <x:v>2</x:v>
      </x:c>
      <x:c r="C9" s="55" t="str">
        <x:v>093E6654h</x:v>
      </x:c>
      <x:c r="D9" s="64" t="n">
        <x:v>4</x:v>
      </x:c>
      <x:c r="E9" s="64" t="n">
        <x:v>6</x:v>
      </x:c>
      <x:c r="F9" s="64" t="n">
        <x:v>115</x:v>
      </x:c>
      <x:c r="G9" s="64" t="n">
        <x:v>600</x:v>
      </x:c>
      <x:c r="H9" s="64" t="n">
        <x:v>60</x:v>
      </x:c>
      <x:c r="I9" s="55" t="str">
        <x:v>FFFFAA78h</x:v>
      </x:c>
      <x:c r="J9" s="58" t="n">
        <x:v>50000</x:v>
      </x:c>
      <x:c r="K9" s="55" t="str">
        <x:v>Élevée</x:v>
      </x:c>
    </x:row>
    <x:row r="10">
      <x:c r="A10" s="55" t="str">
        <x:v>Tremblator</x:v>
      </x:c>
      <x:c r="B10" s="64" t="n">
        <x:v>3</x:v>
      </x:c>
      <x:c r="C10" s="55" t="str">
        <x:v>093E6670h</x:v>
      </x:c>
      <x:c r="D10" s="64" t="n">
        <x:v>26</x:v>
      </x:c>
      <x:c r="E10" s="64" t="n">
        <x:v>38</x:v>
      </x:c>
      <x:c r="F10" s="64" t="n">
        <x:v>139</x:v>
      </x:c>
      <x:c r="G10" s="64" t="n">
        <x:v>623</x:v>
      </x:c>
      <x:c r="H10" s="64" t="n">
        <x:v>61</x:v>
      </x:c>
      <x:c r="I10" s="55" t="str">
        <x:v>FFFFAA78h</x:v>
      </x:c>
      <x:c r="J10" s="58" t="n">
        <x:v>5000</x:v>
      </x:c>
      <x:c r="K10" s="55" t="str">
        <x:v>Élevée</x:v>
      </x:c>
    </x:row>
    <x:row r="11">
      <x:c r="A11" s="55" t="str">
        <x:v>Gant à Bombacide</x:v>
      </x:c>
      <x:c r="B11" s="64" t="n">
        <x:v>1</x:v>
      </x:c>
      <x:c r="C11" s="55" t="str">
        <x:v>093E68BCh</x:v>
      </x:c>
      <x:c r="D11" s="64" t="n">
        <x:v>7</x:v>
      </x:c>
      <x:c r="E11" s="64" t="n">
        <x:v>7</x:v>
      </x:c>
      <x:c r="F11" s="64" t="n">
        <x:v>110</x:v>
      </x:c>
      <x:c r="G11" s="64" t="n">
        <x:v>595</x:v>
      </x:c>
      <x:c r="H11" s="64" t="n">
        <x:v>59</x:v>
      </x:c>
      <x:c r="I11" s="55" t="str">
        <x:v>FF03F1A2h</x:v>
      </x:c>
      <x:c r="J11" s="58" t="n">
        <x:v>30000</x:v>
      </x:c>
      <x:c r="K11" s="55" t="str">
        <x:v>Élevée</x:v>
      </x:c>
    </x:row>
    <x:row r="12">
      <x:c r="A12" s="55" t="str">
        <x:v>Gant à Bombacide</x:v>
      </x:c>
      <x:c r="B12" s="64" t="n">
        <x:v>2</x:v>
      </x:c>
      <x:c r="C12" s="55" t="str">
        <x:v>093E68D8h</x:v>
      </x:c>
      <x:c r="D12" s="64" t="n">
        <x:v>8</x:v>
      </x:c>
      <x:c r="E12" s="64" t="n">
        <x:v>8</x:v>
      </x:c>
      <x:c r="F12" s="64" t="n">
        <x:v>111</x:v>
      </x:c>
      <x:c r="G12" s="64" t="n">
        <x:v>596</x:v>
      </x:c>
      <x:c r="H12" s="64" t="n">
        <x:v>60</x:v>
      </x:c>
      <x:c r="I12" s="55" t="str">
        <x:v>FF03F1A2h</x:v>
      </x:c>
      <x:c r="J12" s="58" t="n">
        <x:v>50000</x:v>
      </x:c>
      <x:c r="K12" s="55" t="str">
        <x:v>Élevée</x:v>
      </x:c>
    </x:row>
    <x:row r="13">
      <x:c r="A13" s="55" t="str">
        <x:v>Agents Ravageurs</x:v>
      </x:c>
      <x:c r="B13" s="64" t="n">
        <x:v>1</x:v>
      </x:c>
      <x:c r="C13" s="55" t="str">
        <x:v>093E6B74h</x:v>
      </x:c>
      <x:c r="D13" s="64" t="n">
        <x:v>21</x:v>
      </x:c>
      <x:c r="E13" s="64" t="n">
        <x:v>21</x:v>
      </x:c>
      <x:c r="F13" s="64" t="n">
        <x:v>112</x:v>
      </x:c>
      <x:c r="G13" s="64" t="n">
        <x:v>597</x:v>
      </x:c>
      <x:c r="H13" s="64" t="n">
        <x:v>59</x:v>
      </x:c>
      <x:c r="I13" s="55" t="str">
        <x:v>FFAFB2B6h</x:v>
      </x:c>
      <x:c r="J13" s="58" t="n">
        <x:v>450000</x:v>
      </x:c>
      <x:c r="K13" s="55" t="str">
        <x:v>Élevée</x:v>
      </x:c>
    </x:row>
    <x:row r="14">
      <x:c r="A14" s="55" t="str">
        <x:v>Agents Ravageurs</x:v>
      </x:c>
      <x:c r="B14" s="64" t="n">
        <x:v>2</x:v>
      </x:c>
      <x:c r="C14" s="55" t="str">
        <x:v>093E6B90h</x:v>
      </x:c>
      <x:c r="D14" s="64" t="n">
        <x:v>22</x:v>
      </x:c>
      <x:c r="E14" s="64" t="n">
        <x:v>22</x:v>
      </x:c>
      <x:c r="F14" s="64" t="n">
        <x:v>113</x:v>
      </x:c>
      <x:c r="G14" s="64" t="n">
        <x:v>598</x:v>
      </x:c>
      <x:c r="H14" s="64" t="n">
        <x:v>60</x:v>
      </x:c>
      <x:c r="I14" s="55" t="str">
        <x:v>FFAFB2B6h</x:v>
      </x:c>
      <x:c r="J14" s="58" t="n">
        <x:v>20000</x:v>
      </x:c>
      <x:c r="K14" s="55" t="str">
        <x:v>Élevée</x:v>
      </x:c>
    </x:row>
    <x:row r="15">
      <x:c r="A15" s="55" t="str">
        <x:v>Gant Mine Abeille</x:v>
      </x:c>
      <x:c r="B15" s="64" t="n">
        <x:v>1</x:v>
      </x:c>
      <x:c r="C15" s="55" t="str">
        <x:v>093E6E2Ch</x:v>
      </x:c>
      <x:c r="D15" s="64" t="n">
        <x:v>23</x:v>
      </x:c>
      <x:c r="E15" s="64" t="n">
        <x:v>23</x:v>
      </x:c>
      <x:c r="F15" s="64" t="n">
        <x:v>118</x:v>
      </x:c>
      <x:c r="G15" s="64" t="n">
        <x:v>603</x:v>
      </x:c>
      <x:c r="H15" s="64" t="n">
        <x:v>59</x:v>
      </x:c>
      <x:c r="I15" s="55" t="str">
        <x:v>FF30BFE3h</x:v>
      </x:c>
      <x:c r="J15" s="58" t="n">
        <x:v>5000</x:v>
      </x:c>
      <x:c r="K15" s="55" t="str">
        <x:v>Élevée</x:v>
      </x:c>
    </x:row>
    <x:row r="16">
      <x:c r="A16" s="55" t="str">
        <x:v>Gant Mine Abeille</x:v>
      </x:c>
      <x:c r="B16" s="64" t="n">
        <x:v>2</x:v>
      </x:c>
      <x:c r="C16" s="55" t="str">
        <x:v>093E6E48h</x:v>
      </x:c>
      <x:c r="D16" s="64" t="n">
        <x:v>24</x:v>
      </x:c>
      <x:c r="E16" s="64" t="n">
        <x:v>24</x:v>
      </x:c>
      <x:c r="F16" s="64" t="n">
        <x:v>119</x:v>
      </x:c>
      <x:c r="G16" s="64" t="n">
        <x:v>604</x:v>
      </x:c>
      <x:c r="H16" s="64" t="n">
        <x:v>60</x:v>
      </x:c>
      <x:c r="I16" s="55" t="str">
        <x:v>FF30BFE3h</x:v>
      </x:c>
      <x:c r="J16" s="58" t="n">
        <x:v>300000</x:v>
      </x:c>
      <x:c r="K16" s="55" t="str">
        <x:v>Élevée</x:v>
      </x:c>
    </x:row>
    <x:row r="17">
      <x:c r="A17" s="55" t="str">
        <x:v>Barrière Statique</x:v>
      </x:c>
      <x:c r="B17" s="64" t="n">
        <x:v>1</x:v>
      </x:c>
      <x:c r="C17" s="55" t="str">
        <x:v>093E739Ch</x:v>
      </x:c>
      <x:c r="D17" s="64" t="n">
        <x:v>13</x:v>
      </x:c>
      <x:c r="E17" s="64" t="n">
        <x:v>15</x:v>
      </x:c>
      <x:c r="F17" s="64" t="n">
        <x:v>122</x:v>
      </x:c>
      <x:c r="G17" s="64" t="n">
        <x:v>607</x:v>
      </x:c>
      <x:c r="H17" s="64" t="n">
        <x:v>59</x:v>
      </x:c>
      <x:c r="I17" s="55" t="str">
        <x:v>FFF6D2A2h</x:v>
      </x:c>
      <x:c r="J17" s="58" t="n">
        <x:v>250000</x:v>
      </x:c>
      <x:c r="K17" s="55" t="str">
        <x:v>Élevée</x:v>
      </x:c>
    </x:row>
    <x:row r="18">
      <x:c r="A18" s="55" t="str">
        <x:v>Barrière Statique</x:v>
      </x:c>
      <x:c r="B18" s="64" t="n">
        <x:v>2</x:v>
      </x:c>
      <x:c r="C18" s="55" t="str">
        <x:v>093E73B8h</x:v>
      </x:c>
      <x:c r="D18" s="64" t="n">
        <x:v>14</x:v>
      </x:c>
      <x:c r="E18" s="64" t="n">
        <x:v>16</x:v>
      </x:c>
      <x:c r="F18" s="64" t="n">
        <x:v>123</x:v>
      </x:c>
      <x:c r="G18" s="64" t="n">
        <x:v>608</x:v>
      </x:c>
      <x:c r="H18" s="64" t="n">
        <x:v>60</x:v>
      </x:c>
      <x:c r="I18" s="55" t="str">
        <x:v>FFF6D2A2h</x:v>
      </x:c>
      <x:c r="J18" s="58" t="n">
        <x:v>1250000</x:v>
      </x:c>
      <x:c r="K18" s="55" t="str">
        <x:v>Élevée</x:v>
      </x:c>
    </x:row>
    <x:row r="19">
      <x:c r="A19" s="55" t="str">
        <x:v>Roquette Éclair</x:v>
      </x:c>
      <x:c r="B19" s="64" t="n">
        <x:v>1</x:v>
      </x:c>
      <x:c r="C19" s="55" t="str">
        <x:v>093E7654h</x:v>
      </x:c>
      <x:c r="D19" s="64" t="n">
        <x:v>9</x:v>
      </x:c>
      <x:c r="E19" s="64" t="n">
        <x:v>11</x:v>
      </x:c>
      <x:c r="F19" s="64" t="n">
        <x:v>124</x:v>
      </x:c>
      <x:c r="G19" s="64" t="n">
        <x:v>609</x:v>
      </x:c>
      <x:c r="H19" s="64" t="n">
        <x:v>59</x:v>
      </x:c>
      <x:c r="I19" s="55" t="str">
        <x:v>FF6281ECh</x:v>
      </x:c>
      <x:c r="J19" s="58" t="n">
        <x:v>25000</x:v>
      </x:c>
      <x:c r="K19" s="55" t="str">
        <x:v>Élevée</x:v>
      </x:c>
    </x:row>
    <x:row r="20">
      <x:c r="A20" s="55" t="str">
        <x:v>Roquette Éclair</x:v>
      </x:c>
      <x:c r="B20" s="64" t="n">
        <x:v>2</x:v>
      </x:c>
      <x:c r="C20" s="55" t="str">
        <x:v>093E7670h</x:v>
      </x:c>
      <x:c r="D20" s="64" t="n">
        <x:v>10</x:v>
      </x:c>
      <x:c r="E20" s="64" t="n">
        <x:v>12</x:v>
      </x:c>
      <x:c r="F20" s="64" t="n">
        <x:v>125</x:v>
      </x:c>
      <x:c r="G20" s="64" t="n">
        <x:v>610</x:v>
      </x:c>
      <x:c r="H20" s="64" t="n">
        <x:v>60</x:v>
      </x:c>
      <x:c r="I20" s="55" t="str">
        <x:v>FF6281ECh</x:v>
      </x:c>
      <x:c r="J20" s="58" t="n">
        <x:v>2000000</x:v>
      </x:c>
      <x:c r="K20" s="55" t="str">
        <x:v>Élevée</x:v>
      </x:c>
    </x:row>
    <x:row r="21">
      <x:c r="A21" s="55" t="str">
        <x:v>Roquette Éclair</x:v>
      </x:c>
      <x:c r="B21" s="64" t="n">
        <x:v>3</x:v>
      </x:c>
      <x:c r="C21" s="55" t="str">
        <x:v>093E768Ch</x:v>
      </x:c>
      <x:c r="D21" s="64" t="n">
        <x:v>31</x:v>
      </x:c>
      <x:c r="E21" s="64" t="n">
        <x:v>39</x:v>
      </x:c>
      <x:c r="F21" s="64" t="n">
        <x:v>140</x:v>
      </x:c>
      <x:c r="G21" s="64" t="n">
        <x:v>623</x:v>
      </x:c>
      <x:c r="H21" s="64" t="n">
        <x:v>61</x:v>
      </x:c>
      <x:c r="I21" s="55" t="str">
        <x:v>FF6281ECh</x:v>
      </x:c>
      <x:c r="J21" s="58" t="n">
        <x:v>5000</x:v>
      </x:c>
      <x:c r="K21" s="55" t="str">
        <x:v>Élevée</x:v>
      </x:c>
    </x:row>
    <x:row r="22">
      <x:c r="A22" s="55" t="str">
        <x:v>Mine de Sniper</x:v>
      </x:c>
      <x:c r="B22" s="64" t="n">
        <x:v>1</x:v>
      </x:c>
      <x:c r="C22" s="55" t="str">
        <x:v>093E7928h</x:v>
      </x:c>
      <x:c r="D22" s="64" t="n">
        <x:v>32</x:v>
      </x:c>
      <x:c r="E22" s="64" t="n">
        <x:v>34</x:v>
      </x:c>
      <x:c r="F22" s="64" t="n">
        <x:v>120</x:v>
      </x:c>
      <x:c r="G22" s="64" t="n">
        <x:v>605</x:v>
      </x:c>
      <x:c r="H22" s="64" t="n">
        <x:v>59</x:v>
      </x:c>
      <x:c r="I22" s="55" t="str">
        <x:v>FFF9A1B6h</x:v>
      </x:c>
      <x:c r="J22" s="58" t="n">
        <x:v>25000</x:v>
      </x:c>
      <x:c r="K22" s="55" t="str">
        <x:v>Élevée</x:v>
      </x:c>
    </x:row>
    <x:row r="23">
      <x:c r="A23" s="55" t="str">
        <x:v>Mine de Sniper</x:v>
      </x:c>
      <x:c r="B23" s="64" t="n">
        <x:v>2</x:v>
      </x:c>
      <x:c r="C23" s="55" t="str">
        <x:v>093E7944h</x:v>
      </x:c>
      <x:c r="D23" s="64" t="n">
        <x:v>33</x:v>
      </x:c>
      <x:c r="E23" s="64" t="n">
        <x:v>35</x:v>
      </x:c>
      <x:c r="F23" s="64" t="n">
        <x:v>121</x:v>
      </x:c>
      <x:c r="G23" s="64" t="n">
        <x:v>606</x:v>
      </x:c>
      <x:c r="H23" s="64" t="n">
        <x:v>60</x:v>
      </x:c>
      <x:c r="I23" s="55" t="str">
        <x:v>FFF9A1B6h</x:v>
      </x:c>
      <x:c r="J23" s="58" t="n">
        <x:v>750000</x:v>
      </x:c>
      <x:c r="K23" s="55" t="str">
        <x:v>Élevée</x:v>
      </x:c>
    </x:row>
    <x:row r="24">
      <x:c r="A24" s="55" t="str">
        <x:v>Incinérator</x:v>
      </x:c>
      <x:c r="B24" s="64" t="n">
        <x:v>1</x:v>
      </x:c>
      <x:c r="C24" s="55" t="str">
        <x:v>093E70E4h</x:v>
      </x:c>
      <x:c r="D24" s="64" t="n">
        <x:v>17</x:v>
      </x:c>
      <x:c r="E24" s="64" t="n">
        <x:v>19</x:v>
      </x:c>
      <x:c r="F24" s="64" t="n">
        <x:v>116</x:v>
      </x:c>
      <x:c r="G24" s="64" t="n">
        <x:v>601</x:v>
      </x:c>
      <x:c r="H24" s="64" t="n">
        <x:v>59</x:v>
      </x:c>
      <x:c r="I24" s="55" t="str">
        <x:v>FF5962DFh</x:v>
      </x:c>
      <x:c r="J24" s="58" t="n">
        <x:v>200000</x:v>
      </x:c>
      <x:c r="K24" s="55" t="str">
        <x:v>Élevée</x:v>
      </x:c>
    </x:row>
    <x:row r="25">
      <x:c r="A25" s="55" t="str">
        <x:v>Incinérator</x:v>
      </x:c>
      <x:c r="B25" s="64" t="n">
        <x:v>2</x:v>
      </x:c>
      <x:c r="C25" s="55" t="str">
        <x:v>093E7100h</x:v>
      </x:c>
      <x:c r="D25" s="64" t="n">
        <x:v>18</x:v>
      </x:c>
      <x:c r="E25" s="64" t="n">
        <x:v>20</x:v>
      </x:c>
      <x:c r="F25" s="64" t="n">
        <x:v>117</x:v>
      </x:c>
      <x:c r="G25" s="64" t="n">
        <x:v>602</x:v>
      </x:c>
      <x:c r="H25" s="64" t="n">
        <x:v>60</x:v>
      </x:c>
      <x:c r="I25" s="55" t="str">
        <x:v>FF5962DFh</x:v>
      </x:c>
      <x:c r="J25" s="58" t="n">
        <x:v>15000</x:v>
      </x:c>
      <x:c r="K25" s="55" t="str">
        <x:v>Élevée</x:v>
      </x:c>
    </x:row>
    <x:row r="26">
      <x:c r="A26" s="55" t="str">
        <x:v>Pisteur Laser</x:v>
      </x:c>
      <x:c r="B26" s="64" t="n">
        <x:v>1</x:v>
      </x:c>
      <x:c r="C26" s="55" t="str">
        <x:v>093E80FCh</x:v>
      </x:c>
      <x:c r="D26" s="64" t="n">
        <x:v>27</x:v>
      </x:c>
      <x:c r="E26" s="64" t="n">
        <x:v>29</x:v>
      </x:c>
      <x:c r="F26" s="64" t="n">
        <x:v>128</x:v>
      </x:c>
      <x:c r="G26" s="64" t="n">
        <x:v>613</x:v>
      </x:c>
      <x:c r="H26" s="64" t="n">
        <x:v>59</x:v>
      </x:c>
      <x:c r="I26" s="55" t="str">
        <x:v>FF6363E8h</x:v>
      </x:c>
      <x:c r="J26" s="58" t="n">
        <x:v>1250000</x:v>
      </x:c>
      <x:c r="K26" s="55" t="str">
        <x:v>Élevée</x:v>
      </x:c>
    </x:row>
    <x:row r="27">
      <x:c r="A27" s="55" t="str">
        <x:v>Pisteur Laser</x:v>
      </x:c>
      <x:c r="B27" s="64" t="n">
        <x:v>2</x:v>
      </x:c>
      <x:c r="C27" s="55" t="str">
        <x:v>093E8118h</x:v>
      </x:c>
      <x:c r="D27" s="64" t="n">
        <x:v>28</x:v>
      </x:c>
      <x:c r="E27" s="64" t="n">
        <x:v>30</x:v>
      </x:c>
      <x:c r="F27" s="64" t="n">
        <x:v>129</x:v>
      </x:c>
      <x:c r="G27" s="64" t="n">
        <x:v>614</x:v>
      </x:c>
      <x:c r="H27" s="64" t="n">
        <x:v>60</x:v>
      </x:c>
      <x:c r="I27" s="55" t="str">
        <x:v>FF6363E8h</x:v>
      </x:c>
      <x:c r="J27" s="58" t="n">
        <x:v>500000</x:v>
      </x:c>
      <x:c r="K27" s="55" t="str">
        <x:v>Élevée</x:v>
      </x:c>
    </x:row>
    <x:row r="28">
      <x:c r="A28" s="56" t="str">
        <x:v>Aspiro-Canon</x:v>
      </x:c>
      <x:c r="B28" s="65" t="n">
        <x:v>1</x:v>
      </x:c>
      <x:c r="C28" s="56" t="str">
        <x:v>093E7BE0h</x:v>
      </x:c>
      <x:c r="D28" s="65" t="n">
        <x:v>36</x:v>
      </x:c>
      <x:c r="E28" s="65" t="n">
        <x:v>37</x:v>
      </x:c>
      <x:c r="F28" s="65" t="n">
        <x:v>126</x:v>
      </x:c>
      <x:c r="G28" s="65" t="n">
        <x:v>611</x:v>
      </x:c>
      <x:c r="H28" s="65" t="n">
        <x:v>59</x:v>
      </x:c>
      <x:c r="I28" s="56" t="str">
        <x:v>FFFCD9B8h</x:v>
      </x:c>
      <x:c r="J28" s="59" t="n">
        <x:v>600000</x:v>
      </x:c>
      <x:c r="K28" s="56" t="str">
        <x:v>Élevée</x:v>
      </x:c>
    </x:row>
  </x:sheetData>
  <x:mergeCells>
    <x:mergeCell ref="A1:K1"/>
    <x:mergeCell ref="A2:K2"/>
  </x:mergeCells>
  <x:conditionalFormatting sqref="K6:K28">
    <x:cfRule type="containsText" dxfId="12" priority="1" operator="containsText" text="Élevée"/>
    <x:cfRule type="containsText" dxfId="13" priority="2" operator="containsText" text="Moyenne"/>
    <x:cfRule type="containsText" dxfId="14" priority="3" operator="containsText" text="Faible"/>
  </x:conditionalFormatting>
  <x:pageMargins left="0.7" right="0.7" top="0.75" bottom="0.75" header="0.3" footer="0.3"/>
  <x:tableParts count="1">
    <x:tablePart xmlns:r="http://schemas.openxmlformats.org/officeDocument/2006/relationships" r:id="R2482efeae7c743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3" hidden="0" customWidth="1"/>
    <x:col min="10" max="10" width="11" hidden="0" customWidth="1"/>
    <x:col min="11" max="11" width="17" hidden="0" customWidth="1"/>
    <x:col min="12" max="12" width="17" hidden="0" customWidth="1"/>
    <x:col min="13" max="13" width="12" hidden="0" customWidth="1"/>
    <x:col min="14" max="14" width="50" hidden="0" customWidth="1"/>
    <x:col min="15" max="15" width="34" hidden="0" customWidth="1"/>
    <x:col min="16" max="16" width="39" hidden="0" customWidth="1"/>
    <x:col min="17" max="17" width="12" hidden="0" customWidth="1"/>
  </x:cols>
  <x:sheetData>
    <x:row r="1" ht="32" customHeight="1">
      <x:c r="A1" s="3" t="str">
        <x:v>Ennemis, dangers et classes de support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Descripteurs Moby de Pokitaru; les entités d’armes sont exclues ou explicitement classées comme transformations.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5" ht="30" customHeight="1">
      <x:c r="A5" s="47" t="str">
        <x:v>Classe</x:v>
      </x:c>
      <x:c r="B5" s="48" t="str">
        <x:v>Catégorie</x:v>
      </x:c>
      <x:c r="C5" s="48" t="str">
        <x:v>Descripteur</x:v>
      </x:c>
      <x:c r="D5" s="48" t="str">
        <x:v>Init</x:v>
      </x:c>
      <x:c r="E5" s="48" t="str">
        <x:v>Destroy</x:v>
      </x:c>
      <x:c r="F5" s="48" t="str">
        <x:v>Update</x:v>
      </x:c>
      <x:c r="G5" s="48" t="str">
        <x:v>Event</x:v>
      </x:c>
      <x:c r="H5" s="48" t="str">
        <x:v>Schéma PVar</x:v>
      </x:c>
      <x:c r="I5" s="48" t="str">
        <x:v>Taille PVar</x:v>
      </x:c>
      <x:c r="J5" s="48" t="str">
        <x:v>Privé</x:v>
      </x:c>
      <x:c r="K5" s="48" t="str">
        <x:v>Coeff. boulons</x:v>
      </x:c>
      <x:c r="L5" s="48" t="str">
        <x:v>Coeff. XP</x:v>
      </x:c>
      <x:c r="M5" s="48" t="str">
        <x:v>Flag +0x3C</x:v>
      </x:c>
      <x:c r="N5" s="48" t="str">
        <x:v>Schéma / champs</x:v>
      </x:c>
      <x:c r="O5" s="48" t="str">
        <x:v>Données résolues</x:v>
      </x:c>
      <x:c r="P5" s="48" t="str">
        <x:v>Limites</x:v>
      </x:c>
      <x:c r="Q5" s="49" t="str">
        <x:v>Confiance</x:v>
      </x:c>
    </x:row>
    <x:row r="6">
      <x:c r="A6" s="54" t="str">
        <x:v>Crab</x:v>
      </x:c>
      <x:c r="B6" s="54" t="str">
        <x:v>Ennemi principal</x:v>
      </x:c>
      <x:c r="C6" s="54" t="str">
        <x:v>09409144h</x:v>
      </x:c>
      <x:c r="D6" s="54" t="str">
        <x:v>0925D7E8h</x:v>
      </x:c>
      <x:c r="E6" s="54" t="str">
        <x:v>0925DE14h</x:v>
      </x:c>
      <x:c r="F6" s="54" t="str">
        <x:v>09260C28h</x:v>
      </x:c>
      <x:c r="G6" s="54" t="str">
        <x:v>0925DEE8h</x:v>
      </x:c>
      <x:c r="H6" s="54" t="str">
        <x:v>09408EF8h</x:v>
      </x:c>
      <x:c r="I6" s="63" t="n">
        <x:v>80</x:v>
      </x:c>
      <x:c r="J6" s="63" t="n">
        <x:v>132</x:v>
      </x:c>
      <x:c r="K6" s="54" t="str">
        <x:v>094090ECh</x:v>
      </x:c>
      <x:c r="L6" s="54" t="str">
        <x:v>09409118h</x:v>
      </x:c>
      <x:c r="M6" s="54" t="n">
        <x:v>4</x:v>
      </x:c>
      <x:c r="N6" s="60" t="str">
        <x:v>Navigate navigateBehavior; TriggerLink detectArea; TriggerLink startPathTrigger; MobyLink objController; MobyLink enemyController; CurveLink initCurve; MobyLink enemyWave; f32 scale; TriggerLink noDetectArea; Toggle pathNotice; u8 pad[ 3 ];</x:v>
      </x:c>
      <x:c r="O6" s="60" t="str">
        <x:v>Vitesse et fenêtre d’attaque résolues.</x:v>
      </x:c>
      <x:c r="P6" s="60" t="str">
        <x:v>Récompense/XP finales dynamiques; points de vie exacts non exposés par ces tableaux.</x:v>
      </x:c>
      <x:c r="Q6" s="60" t="str">
        <x:v>Élevée</x:v>
      </x:c>
    </x:row>
    <x:row r="7">
      <x:c r="A7" s="55" t="str">
        <x:v>CrabObjectController</x:v>
      </x:c>
      <x:c r="B7" s="55" t="str">
        <x:v>Contrôleur</x:v>
      </x:c>
      <x:c r="C7" s="55" t="str">
        <x:v>09409274h</x:v>
      </x:c>
      <x:c r="D7" s="55" t="str">
        <x:v>0926197Ch</x:v>
      </x:c>
      <x:c r="E7" s="55" t="str">
        <x:v>092619F0h</x:v>
      </x:c>
      <x:c r="F7" s="55" t="str">
        <x:v>09261C18h</x:v>
      </x:c>
      <x:c r="G7" s="55" t="str">
        <x:v>00000000h</x:v>
      </x:c>
      <x:c r="H7" s="55" t="str">
        <x:v>094091B0h</x:v>
      </x:c>
      <x:c r="I7" s="64" t="n">
        <x:v>336</x:v>
      </x:c>
      <x:c r="J7" s="64" t="n">
        <x:v>0</x:v>
      </x:c>
      <x:c r="K7" s="55" t="str">
        <x:v>00000000h</x:v>
      </x:c>
      <x:c r="L7" s="55" t="str">
        <x:v>00000000h</x:v>
      </x:c>
      <x:c r="M7" s="55" t="n">
        <x:v>0</x:v>
      </x:c>
      <x:c r="N7" s="61" t="str">
        <x:v>TieLink examineObjs[ 8 ]; VEC4 velocities [ 8 ]; VEC4 rotationAxes[ 8 ]; f32 stopRollingThresh[ 8 ]; u8 flags[ 8 ]; u32 examineObjCount; u32 pad[ 1 ];</x:v>
      </x:c>
      <x:c r="O7" s="61" t="str">
        <x:v>Pas de récompense propre.</x:v>
      </x:c>
      <x:c r="P7" s="61" t="str">
        <x:v>Gestion de groupes/fragments</x:v>
      </x:c>
      <x:c r="Q7" s="61" t="str">
        <x:v>Moyenne</x:v>
      </x:c>
    </x:row>
    <x:row r="8">
      <x:c r="A8" s="55" t="str">
        <x:v>CrabShrapnel</x:v>
      </x:c>
      <x:c r="B8" s="55" t="str">
        <x:v>Fragment</x:v>
      </x:c>
      <x:c r="C8" s="55" t="str">
        <x:v>09409490h</x:v>
      </x:c>
      <x:c r="D8" s="55" t="str">
        <x:v>09261EB8h</x:v>
      </x:c>
      <x:c r="E8" s="55" t="str">
        <x:v>09261EC0h</x:v>
      </x:c>
      <x:c r="F8" s="55" t="str">
        <x:v>09261EC8h</x:v>
      </x:c>
      <x:c r="G8" s="55" t="str">
        <x:v>00000000h</x:v>
      </x:c>
      <x:c r="H8" s="55" t="str">
        <x:v>00000000h</x:v>
      </x:c>
      <x:c r="I8" s="64" t="n">
        <x:v>0</x:v>
      </x:c>
      <x:c r="J8" s="64" t="n">
        <x:v>52</x:v>
      </x:c>
      <x:c r="K8" s="55" t="str">
        <x:v>00000000h</x:v>
      </x:c>
      <x:c r="L8" s="55" t="str">
        <x:v>00000000h</x:v>
      </x:c>
      <x:c r="M8" s="55" t="n">
        <x:v>0</x:v>
      </x:c>
      <x:c r="N8" s="61" t="str">
        <x:v>—</x:v>
      </x:c>
      <x:c r="O8" s="61" t="str">
        <x:v>Physique via wrapper shrapnel commun.</x:v>
      </x:c>
      <x:c r="P8" s="61" t="str">
        <x:v>Quatre morceaux coordonnés</x:v>
      </x:c>
      <x:c r="Q8" s="61" t="str">
        <x:v>Moyenne</x:v>
      </x:c>
    </x:row>
    <x:row r="9">
      <x:c r="A9" s="55" t="str">
        <x:v>DropshipB</x:v>
      </x:c>
      <x:c r="B9" s="55" t="str">
        <x:v>Ennemi / véhicule</x:v>
      </x:c>
      <x:c r="C9" s="55" t="str">
        <x:v>0940A934h</x:v>
      </x:c>
      <x:c r="D9" s="55" t="str">
        <x:v>09269190h</x:v>
      </x:c>
      <x:c r="E9" s="55" t="str">
        <x:v>092685FCh</x:v>
      </x:c>
      <x:c r="F9" s="55" t="str">
        <x:v>09269550h</x:v>
      </x:c>
      <x:c r="G9" s="55" t="str">
        <x:v>09268604h</x:v>
      </x:c>
      <x:c r="H9" s="55" t="str">
        <x:v>0940A770h</x:v>
      </x:c>
      <x:c r="I9" s="64" t="n">
        <x:v>208</x:v>
      </x:c>
      <x:c r="J9" s="64" t="n">
        <x:v>0</x:v>
      </x:c>
      <x:c r="K9" s="55" t="str">
        <x:v>00000000h</x:v>
      </x:c>
      <x:c r="L9" s="55" t="str">
        <x:v>00000000h</x:v>
      </x:c>
      <x:c r="M9" s="55" t="n">
        <x:v>0</x:v>
      </x:c>
      <x:c r="N9" s="61" t="str">
        <x:v>Moby *pEnemiesInShip[ 8 ]; Moby_OnDropshipSpawnCB *pSpawnCBs[ 8 ]; VEC4 idealForward; VEC4 curForward; VEC4 curUp; VEC4 pathPoint; VEC4 gunPos; VEC4 rEnginePos; f32 speed; f32 actualSpeed; f32 deltaSpeed; f32 beamSize; CurveLink path; CurveLink spawnPoints; TriggerLink enterTrigger; u8 pathPointIndex; u8 beamFadeMode; u8 inShipCount; u8 spawnCount; SND_Positional *pEngineSound; u32 pad[ 3 ];</x:v>
      </x:c>
      <x:c r="O9" s="61" t="str">
        <x:v>Facteur d’init et lissage de vol connus.</x:v>
      </x:c>
      <x:c r="P9" s="61" t="str">
        <x:v>Dropship et largage</x:v>
      </x:c>
      <x:c r="Q9" s="61" t="str">
        <x:v>Moyenne</x:v>
      </x:c>
    </x:row>
    <x:row r="10">
      <x:c r="A10" s="55" t="str">
        <x:v>DropshipLaser</x:v>
      </x:c>
      <x:c r="B10" s="55" t="str">
        <x:v>Projectile hostile</x:v>
      </x:c>
      <x:c r="C10" s="55" t="str">
        <x:v>0940A9DCh</x:v>
      </x:c>
      <x:c r="D10" s="55" t="str">
        <x:v>0926A27Ch</x:v>
      </x:c>
      <x:c r="E10" s="55" t="str">
        <x:v>0926A28Ch</x:v>
      </x:c>
      <x:c r="F10" s="55" t="str">
        <x:v>0926A2D8h</x:v>
      </x:c>
      <x:c r="G10" s="55" t="str">
        <x:v>00000000h</x:v>
      </x:c>
      <x:c r="H10" s="55" t="str">
        <x:v>0940A9B8h</x:v>
      </x:c>
      <x:c r="I10" s="64" t="n">
        <x:v>20</x:v>
      </x:c>
      <x:c r="J10" s="64" t="n">
        <x:v>0</x:v>
      </x:c>
      <x:c r="K10" s="55" t="str">
        <x:v>00000000h</x:v>
      </x:c>
      <x:c r="L10" s="55" t="str">
        <x:v>00000000h</x:v>
      </x:c>
      <x:c r="M10" s="55" t="n">
        <x:v>0</x:v>
      </x:c>
      <x:c r="N10" s="61" t="str">
        <x:v>VEC4 targetPos; Particle* pPart;</x:v>
      </x:c>
      <x:c r="O10" s="61" t="str">
        <x:v>Dégâts exacts non attribués statiquement.</x:v>
      </x:c>
      <x:c r="P10" s="61" t="str">
        <x:v>Laser du dropship</x:v>
      </x:c>
      <x:c r="Q10" s="61" t="str">
        <x:v>Moyenne</x:v>
      </x:c>
    </x:row>
    <x:row r="11">
      <x:c r="A11" s="55" t="str">
        <x:v>EnemyController</x:v>
      </x:c>
      <x:c r="B11" s="55" t="str">
        <x:v>Contrôleur</x:v>
      </x:c>
      <x:c r="C11" s="55" t="str">
        <x:v>0940B008h</x:v>
      </x:c>
      <x:c r="D11" s="55" t="str">
        <x:v>0926E6C8h</x:v>
      </x:c>
      <x:c r="E11" s="55" t="str">
        <x:v>0926E8D4h</x:v>
      </x:c>
      <x:c r="F11" s="55" t="str">
        <x:v>0926ECCCh</x:v>
      </x:c>
      <x:c r="G11" s="55" t="str">
        <x:v>00000000h</x:v>
      </x:c>
      <x:c r="H11" s="55" t="str">
        <x:v>0940AF10h</x:v>
      </x:c>
      <x:c r="I11" s="64" t="n">
        <x:v>32</x:v>
      </x:c>
      <x:c r="J11" s="64" t="n">
        <x:v>352</x:v>
      </x:c>
      <x:c r="K11" s="55" t="str">
        <x:v>00000000h</x:v>
      </x:c>
      <x:c r="L11" s="55" t="str">
        <x:v>00000000h</x:v>
      </x:c>
      <x:c r="M11" s="55" t="n">
        <x:v>768</x:v>
      </x:c>
      <x:c r="N11" s="61" t="str">
        <x:v>TriggerLink updateArea; TriggerLink updateArea2; TriggerLink destroyTrigger; f32 firstWaveDist; f32 secondWaveDist; Toggle envColl; u8 attackingMax; Toggle destroyControllerToo; u8 pad[ 9 ];</x:v>
      </x:c>
      <x:c r="O11" s="61" t="str">
        <x:v>Structure privée 0x160.</x:v>
      </x:c>
      <x:c r="P11" s="61" t="str">
        <x:v>Orchestration des ennemis</x:v>
      </x:c>
      <x:c r="Q11" s="61" t="str">
        <x:v>Moyenne</x:v>
      </x:c>
    </x:row>
    <x:row r="12">
      <x:c r="A12" s="55" t="str">
        <x:v>EnemyWave</x:v>
      </x:c>
      <x:c r="B12" s="55" t="str">
        <x:v>Contrôleur de vague</x:v>
      </x:c>
      <x:c r="C12" s="55" t="str">
        <x:v>0940B174h</x:v>
      </x:c>
      <x:c r="D12" s="55" t="str">
        <x:v>092716E0h</x:v>
      </x:c>
      <x:c r="E12" s="55" t="str">
        <x:v>09271798h</x:v>
      </x:c>
      <x:c r="F12" s="55" t="str">
        <x:v>09271A9Ch</x:v>
      </x:c>
      <x:c r="G12" s="55" t="str">
        <x:v>00000000h</x:v>
      </x:c>
      <x:c r="H12" s="55" t="str">
        <x:v>0940B098h</x:v>
      </x:c>
      <x:c r="I12" s="64" t="n">
        <x:v>36</x:v>
      </x:c>
      <x:c r="J12" s="64" t="n">
        <x:v>104</x:v>
      </x:c>
      <x:c r="K12" s="55" t="str">
        <x:v>00000000h</x:v>
      </x:c>
      <x:c r="L12" s="55" t="str">
        <x:v>00000000h</x:v>
      </x:c>
      <x:c r="M12" s="55" t="n">
        <x:v>768</x:v>
      </x:c>
      <x:c r="N12" s="61" t="str">
        <x:v>MobyLink destroyedMoby; TriggerLink trigger; MobyLink previousWave; f32 timer; f32 delayRandMax; MobyLink enemyControllerToCheck; u8 mobyToCheckState; Toggle prevWaveDestroyed; u8 enemyInControllerCount; u8 pad[ 9 ];</x:v>
      </x:c>
      <x:c r="O12" s="61" t="str">
        <x:v>Delta privé identifié.</x:v>
      </x:c>
      <x:c r="P12" s="61" t="str">
        <x:v>Vagues du niveau</x:v>
      </x:c>
      <x:c r="Q12" s="61" t="str">
        <x:v>Moyenne</x:v>
      </x:c>
    </x:row>
    <x:row r="13">
      <x:c r="A13" s="55" t="str">
        <x:v>Fire</x:v>
      </x:c>
      <x:c r="B13" s="55" t="str">
        <x:v>Danger de niveau</x:v>
      </x:c>
      <x:c r="C13" s="55" t="str">
        <x:v>0940B614h</x:v>
      </x:c>
      <x:c r="D13" s="55" t="str">
        <x:v>09273FA8h</x:v>
      </x:c>
      <x:c r="E13" s="55" t="str">
        <x:v>0927411Ch</x:v>
      </x:c>
      <x:c r="F13" s="55" t="str">
        <x:v>0927421Ch</x:v>
      </x:c>
      <x:c r="G13" s="55" t="str">
        <x:v>00000000h</x:v>
      </x:c>
      <x:c r="H13" s="55" t="str">
        <x:v>0940B3B0h</x:v>
      </x:c>
      <x:c r="I13" s="64" t="n">
        <x:v>16</x:v>
      </x:c>
      <x:c r="J13" s="64" t="n">
        <x:v>172</x:v>
      </x:c>
      <x:c r="K13" s="55" t="str">
        <x:v>00000000h</x:v>
      </x:c>
      <x:c r="L13" s="55" t="str">
        <x:v>00000000h</x:v>
      </x:c>
      <x:c r="M13" s="55" t="n">
        <x:v>0</x:v>
      </x:c>
      <x:c r="N13" s="61" t="str">
        <x:v>TriggerLink activeArea; TriggerLink damageArea; f32 damage; Toggle sound; u8 pad[ 3 ];</x:v>
      </x:c>
      <x:c r="O13" s="61" t="str">
        <x:v>Le champ damage est configuré par instance dans le WAD.</x:v>
      </x:c>
      <x:c r="P13" s="61" t="str">
        <x:v>Zone de dégâts et particules</x:v>
      </x:c>
      <x:c r="Q13" s="61" t="str">
        <x:v>Moyenne</x:v>
      </x:c>
    </x:row>
    <x:row r="14">
      <x:c r="A14" s="55" t="str">
        <x:v>Sharkagator</x:v>
      </x:c>
      <x:c r="B14" s="55" t="str">
        <x:v>Faune / danger</x:v>
      </x:c>
      <x:c r="C14" s="55" t="str">
        <x:v>09410C50h</x:v>
      </x:c>
      <x:c r="D14" s="55" t="str">
        <x:v>092A4C5Ch</x:v>
      </x:c>
      <x:c r="E14" s="55" t="str">
        <x:v>092A4CCCh</x:v>
      </x:c>
      <x:c r="F14" s="55" t="str">
        <x:v>092A4CD4h</x:v>
      </x:c>
      <x:c r="G14" s="55" t="str">
        <x:v>00000000h</x:v>
      </x:c>
      <x:c r="H14" s="55" t="str">
        <x:v>09410C18h</x:v>
      </x:c>
      <x:c r="I14" s="64" t="n">
        <x:v>16</x:v>
      </x:c>
      <x:c r="J14" s="64" t="n">
        <x:v>24</x:v>
      </x:c>
      <x:c r="K14" s="55" t="str">
        <x:v>00000000h</x:v>
      </x:c>
      <x:c r="L14" s="55" t="str">
        <x:v>00000000h</x:v>
      </x:c>
      <x:c r="M14" s="55" t="n">
        <x:v>0</x:v>
      </x:c>
      <x:c r="N14" s="61" t="str">
        <x:v>MobyLink noBiteAreas; u32 pad[ 3 ];</x:v>
      </x:c>
      <x:c r="O14" s="61" t="str">
        <x:v>Logique séparée de l’aileron.</x:v>
      </x:c>
      <x:c r="P14" s="61" t="str">
        <x:v>Corps aquatique</x:v>
      </x:c>
      <x:c r="Q14" s="61" t="str">
        <x:v>Moyenne</x:v>
      </x:c>
    </x:row>
    <x:row r="15">
      <x:c r="A15" s="55" t="str">
        <x:v>SharkagatorFin</x:v>
      </x:c>
      <x:c r="B15" s="55" t="str">
        <x:v>Faune / danger</x:v>
      </x:c>
      <x:c r="C15" s="55" t="str">
        <x:v>09410DC4h</x:v>
      </x:c>
      <x:c r="D15" s="55" t="str">
        <x:v>092A50FCh</x:v>
      </x:c>
      <x:c r="E15" s="55" t="str">
        <x:v>092A5528h</x:v>
      </x:c>
      <x:c r="F15" s="55" t="str">
        <x:v>092A5530h</x:v>
      </x:c>
      <x:c r="G15" s="55" t="str">
        <x:v>00000000h</x:v>
      </x:c>
      <x:c r="H15" s="55" t="str">
        <x:v>09410CB0h</x:v>
      </x:c>
      <x:c r="I15" s="64" t="n">
        <x:v>80</x:v>
      </x:c>
      <x:c r="J15" s="64" t="n">
        <x:v>0</x:v>
      </x:c>
      <x:c r="K15" s="55" t="str">
        <x:v>00000000h</x:v>
      </x:c>
      <x:c r="L15" s="55" t="str">
        <x:v>00000000h</x:v>
      </x:c>
      <x:c r="M15" s="55" t="n">
        <x:v>0</x:v>
      </x:c>
      <x:c r="N15" s="61" t="str">
        <x:v>VEC4 rotVel; VEC2 dir2d; CurveLink swimPath; f32 speedUp; f32 accelUp; f32 swimSpeed; f32 timeBelowMin; f32 timeBelowMax; f32 timeAboveMin; f32 timeAboveMax; f32 angle; f32 angleInc; u8 nextPathPoint; u8 pad[ 15 ];</x:v>
      </x:c>
      <x:c r="O15" s="61" t="str">
        <x:v>Cinq lissages locaux candidats.</x:v>
      </x:c>
      <x:c r="P15" s="61" t="str">
        <x:v>Aileron et trajectoire</x:v>
      </x:c>
      <x:c r="Q15" s="61" t="str">
        <x:v>Moyenne</x:v>
      </x:c>
    </x:row>
    <x:row r="16">
      <x:c r="A16" s="55" t="str">
        <x:v>TMRobotHeadB</x:v>
      </x:c>
      <x:c r="B16" s="55" t="str">
        <x:v>Ennemi principal</x:v>
      </x:c>
      <x:c r="C16" s="55" t="str">
        <x:v>0941252Ch</x:v>
      </x:c>
      <x:c r="D16" s="55" t="str">
        <x:v>092B56F0h</x:v>
      </x:c>
      <x:c r="E16" s="55" t="str">
        <x:v>092B5B18h</x:v>
      </x:c>
      <x:c r="F16" s="55" t="str">
        <x:v>092B719Ch</x:v>
      </x:c>
      <x:c r="G16" s="55" t="str">
        <x:v>092B581Ch</x:v>
      </x:c>
      <x:c r="H16" s="55" t="str">
        <x:v>09412340h</x:v>
      </x:c>
      <x:c r="I16" s="64" t="n">
        <x:v>80</x:v>
      </x:c>
      <x:c r="J16" s="64" t="n">
        <x:v>120</x:v>
      </x:c>
      <x:c r="K16" s="55" t="str">
        <x:v>094124CCh</x:v>
      </x:c>
      <x:c r="L16" s="55" t="str">
        <x:v>094124F8h</x:v>
      </x:c>
      <x:c r="M16" s="55" t="n">
        <x:v>4</x:v>
      </x:c>
      <x:c r="N16" s="61" t="str">
        <x:v>Navigate nav; MobyLink controller; TriggerLink enterTrigger; TriggerLink detectArea; CurveLink enterPath; MobyLink enemyWave; f32 alertRadius; MobyLink targetTorso; Toggle shouldReturn; u8 pad[7];</x:v>
      </x:c>
      <x:c r="O16" s="61" t="str">
        <x:v>Vitesse table identifiée.</x:v>
      </x:c>
      <x:c r="P16" s="61" t="str">
        <x:v>Récompense/XP finales dynamiques; points de vie exacts non exposés par ces tableaux.</x:v>
      </x:c>
      <x:c r="Q16" s="61" t="str">
        <x:v>Élevée</x:v>
      </x:c>
    </x:row>
    <x:row r="17">
      <x:c r="A17" s="55" t="str">
        <x:v>TMRobotTorsoB</x:v>
      </x:c>
      <x:c r="B17" s="55" t="str">
        <x:v>Ennemi principal</x:v>
      </x:c>
      <x:c r="C17" s="55" t="str">
        <x:v>09412890h</x:v>
      </x:c>
      <x:c r="D17" s="55" t="str">
        <x:v>092BA0D4h</x:v>
      </x:c>
      <x:c r="E17" s="55" t="str">
        <x:v>092B89CCh</x:v>
      </x:c>
      <x:c r="F17" s="55" t="str">
        <x:v>092BA670h</x:v>
      </x:c>
      <x:c r="G17" s="55" t="str">
        <x:v>092B8674h</x:v>
      </x:c>
      <x:c r="H17" s="55" t="str">
        <x:v>094125E0h</x:v>
      </x:c>
      <x:c r="I17" s="64" t="n">
        <x:v>96</x:v>
      </x:c>
      <x:c r="J17" s="64" t="n">
        <x:v>124</x:v>
      </x:c>
      <x:c r="K17" s="55" t="str">
        <x:v>09412838h</x:v>
      </x:c>
      <x:c r="L17" s="55" t="str">
        <x:v>09412864h</x:v>
      </x:c>
      <x:c r="M17" s="55" t="n">
        <x:v>0</x:v>
      </x:c>
      <x:c r="N17" s="61" t="str">
        <x:v>MobyLink controller; Navigate nav; MobyLink dropship; TriggerLink enterTrigger; TriggerLink detectArea; TriggerLink alertTrigger; CurveLink enterPath; f32 alertRadius; MobyLink crabToShoot; MobyLink enemyWave; CurveLink firePoints; TriggerLink noCreateTrigger; Toggle sitting; u8 headSpawnPcnt; Toggle walkOnWater; Toggle initNoDraw; u8 shotsFired; u8 pad[ 2 ];</x:v>
      </x:c>
      <x:c r="O17" s="61" t="str">
        <x:v>Update majoritairement delta-based.</x:v>
      </x:c>
      <x:c r="P17" s="61" t="str">
        <x:v>Récompense/XP finales dynamiques; points de vie exacts non exposés par ces tableaux.</x:v>
      </x:c>
      <x:c r="Q17" s="61" t="str">
        <x:v>Élevée</x:v>
      </x:c>
    </x:row>
    <x:row r="18">
      <x:c r="A18" s="55" t="str">
        <x:v>TMRobotTorsoCutscene</x:v>
      </x:c>
      <x:c r="B18" s="55" t="str">
        <x:v>Cinématique</x:v>
      </x:c>
      <x:c r="C18" s="55" t="str">
        <x:v>09412964h</x:v>
      </x:c>
      <x:c r="D18" s="55" t="str">
        <x:v>092BC25Ch</x:v>
      </x:c>
      <x:c r="E18" s="55" t="str">
        <x:v>092BC370h</x:v>
      </x:c>
      <x:c r="F18" s="55" t="str">
        <x:v>092BC378h</x:v>
      </x:c>
      <x:c r="G18" s="55" t="str">
        <x:v>00000000h</x:v>
      </x:c>
      <x:c r="H18" s="55" t="str">
        <x:v>09412920h</x:v>
      </x:c>
      <x:c r="I18" s="64" t="n">
        <x:v>16</x:v>
      </x:c>
      <x:c r="J18" s="64" t="n">
        <x:v>12</x:v>
      </x:c>
      <x:c r="K18" s="55" t="str">
        <x:v>00000000h</x:v>
      </x:c>
      <x:c r="L18" s="55" t="str">
        <x:v>00000000h</x:v>
      </x:c>
      <x:c r="M18" s="55" t="n">
        <x:v>0</x:v>
      </x:c>
      <x:c r="N18" s="61" t="str">
        <x:v>CurveLink curve; MobyLink enemyWave; u32 pad[ 2 ];</x:v>
      </x:c>
      <x:c r="O18" s="61" t="str">
        <x:v>À exclure des mesures de combat.</x:v>
      </x:c>
      <x:c r="P18" s="61" t="str">
        <x:v>Variante non-combat</x:v>
      </x:c>
      <x:c r="Q18" s="61" t="str">
        <x:v>Moyenne</x:v>
      </x:c>
    </x:row>
    <x:row r="19">
      <x:c r="A19" s="55" t="str">
        <x:v>TorsoAShot</x:v>
      </x:c>
      <x:c r="B19" s="55" t="str">
        <x:v>Projectile hostile</x:v>
      </x:c>
      <x:c r="C19" s="55" t="str">
        <x:v>09412A44h</x:v>
      </x:c>
      <x:c r="D19" s="55" t="str">
        <x:v>092BCB94h</x:v>
      </x:c>
      <x:c r="E19" s="55" t="str">
        <x:v>092BC3CCh</x:v>
      </x:c>
      <x:c r="F19" s="55" t="str">
        <x:v>092BC4C4h</x:v>
      </x:c>
      <x:c r="G19" s="55" t="str">
        <x:v>00000000h</x:v>
      </x:c>
      <x:c r="H19" s="55" t="str">
        <x:v>094129E0h</x:v>
      </x:c>
      <x:c r="I19" s="64" t="n">
        <x:v>24</x:v>
      </x:c>
      <x:c r="J19" s="64" t="n">
        <x:v>28</x:v>
      </x:c>
      <x:c r="K19" s="55" t="str">
        <x:v>00000000h</x:v>
      </x:c>
      <x:c r="L19" s="55" t="str">
        <x:v>00000000h</x:v>
      </x:c>
      <x:c r="M19" s="55" t="n">
        <x:v>0</x:v>
      </x:c>
      <x:c r="N19" s="61" t="str">
        <x:v>Particle *pGlow1; Moby *pParent; Moby *pController; f32 worldCollDist; f32 distTraveled; f32 speed;</x:v>
      </x:c>
      <x:c r="O19" s="61" t="str">
        <x:v>Durée max 5, logique delta-based.</x:v>
      </x:c>
      <x:c r="P19" s="61" t="str">
        <x:v>Tir du torse</x:v>
      </x:c>
      <x:c r="Q19" s="61" t="str">
        <x:v>Moyenne</x:v>
      </x:c>
    </x:row>
    <x:row r="20">
      <x:c r="A20" s="55" t="str">
        <x:v>TorsoShrapnel</x:v>
      </x:c>
      <x:c r="B20" s="55" t="str">
        <x:v>Fragment</x:v>
      </x:c>
      <x:c r="C20" s="55" t="str">
        <x:v>09412BC4h</x:v>
      </x:c>
      <x:c r="D20" s="55" t="str">
        <x:v>092BD0A8h</x:v>
      </x:c>
      <x:c r="E20" s="55" t="str">
        <x:v>092BD0B0h</x:v>
      </x:c>
      <x:c r="F20" s="55" t="str">
        <x:v>092BD0B8h</x:v>
      </x:c>
      <x:c r="G20" s="55" t="str">
        <x:v>00000000h</x:v>
      </x:c>
      <x:c r="H20" s="55" t="str">
        <x:v>00000000h</x:v>
      </x:c>
      <x:c r="I20" s="64" t="n">
        <x:v>0</x:v>
      </x:c>
      <x:c r="J20" s="64" t="n">
        <x:v>40</x:v>
      </x:c>
      <x:c r="K20" s="55" t="str">
        <x:v>00000000h</x:v>
      </x:c>
      <x:c r="L20" s="55" t="str">
        <x:v>00000000h</x:v>
      </x:c>
      <x:c r="M20" s="55" t="n">
        <x:v>0</x:v>
      </x:c>
      <x:c r="N20" s="61" t="str">
        <x:v>—</x:v>
      </x:c>
      <x:c r="O20" s="61" t="str">
        <x:v>Physique via wrapper shrapnel commun.</x:v>
      </x:c>
      <x:c r="P20" s="61" t="str">
        <x:v>Débris du torse</x:v>
      </x:c>
      <x:c r="Q20" s="61" t="str">
        <x:v>Moyenne</x:v>
      </x:c>
    </x:row>
    <x:row r="21">
      <x:c r="A21" s="55" t="str">
        <x:v>TrainingBot</x:v>
      </x:c>
      <x:c r="B21" s="55" t="str">
        <x:v>Ennemi principal</x:v>
      </x:c>
      <x:c r="C21" s="55" t="str">
        <x:v>09412EE0h</x:v>
      </x:c>
      <x:c r="D21" s="55" t="str">
        <x:v>092BD750h</x:v>
      </x:c>
      <x:c r="E21" s="55" t="str">
        <x:v>092BDB5Ch</x:v>
      </x:c>
      <x:c r="F21" s="55" t="str">
        <x:v>092BF834h</x:v>
      </x:c>
      <x:c r="G21" s="55" t="str">
        <x:v>092BDC30h</x:v>
      </x:c>
      <x:c r="H21" s="55" t="str">
        <x:v>09412C38h</x:v>
      </x:c>
      <x:c r="I21" s="64" t="n">
        <x:v>64</x:v>
      </x:c>
      <x:c r="J21" s="64" t="n">
        <x:v>144</x:v>
      </x:c>
      <x:c r="K21" s="55" t="str">
        <x:v>09412E88h</x:v>
      </x:c>
      <x:c r="L21" s="55" t="str">
        <x:v>09412EB4h</x:v>
      </x:c>
      <x:c r="M21" s="55" t="n">
        <x:v>0</x:v>
      </x:c>
      <x:c r="N21" s="61" t="str">
        <x:v>Navigate navigateBehavior; TriggerLink detectArea; MobyLink enemyController; MobyLink enemyWave; CurveLink initPath; TriggerLink wanderArea;</x:v>
      </x:c>
      <x:c r="O21" s="61" t="str">
        <x:v>Vitesse et fenêtre de hitbox résolues.</x:v>
      </x:c>
      <x:c r="P21" s="61" t="str">
        <x:v>Récompense/XP finales dynamiques; points de vie exacts non exposés par ces tableaux.</x:v>
      </x:c>
      <x:c r="Q21" s="61" t="str">
        <x:v>Élevée</x:v>
      </x:c>
    </x:row>
    <x:row r="22">
      <x:c r="A22" s="55" t="str">
        <x:v>TrainingBotShrapnel</x:v>
      </x:c>
      <x:c r="B22" s="55" t="str">
        <x:v>Fragment</x:v>
      </x:c>
      <x:c r="C22" s="55" t="str">
        <x:v>09413070h</x:v>
      </x:c>
      <x:c r="D22" s="55" t="str">
        <x:v>092C03F0h</x:v>
      </x:c>
      <x:c r="E22" s="55" t="str">
        <x:v>092C0404h</x:v>
      </x:c>
      <x:c r="F22" s="55" t="str">
        <x:v>092C040Ch</x:v>
      </x:c>
      <x:c r="G22" s="55" t="str">
        <x:v>00000000h</x:v>
      </x:c>
      <x:c r="H22" s="55" t="str">
        <x:v>00000000h</x:v>
      </x:c>
      <x:c r="I22" s="64" t="n">
        <x:v>0</x:v>
      </x:c>
      <x:c r="J22" s="64" t="n">
        <x:v>40</x:v>
      </x:c>
      <x:c r="K22" s="55" t="str">
        <x:v>00000000h</x:v>
      </x:c>
      <x:c r="L22" s="55" t="str">
        <x:v>00000000h</x:v>
      </x:c>
      <x:c r="M22" s="55" t="n">
        <x:v>0</x:v>
      </x:c>
      <x:c r="N22" s="61" t="str">
        <x:v>—</x:v>
      </x:c>
      <x:c r="O22" s="61" t="str">
        <x:v>Physique via wrapper shrapnel commun.</x:v>
      </x:c>
      <x:c r="P22" s="61" t="str">
        <x:v>Débris du TrainingBot</x:v>
      </x:c>
      <x:c r="Q22" s="61" t="str">
        <x:v>Moyenne</x:v>
      </x:c>
    </x:row>
    <x:row r="23">
      <x:c r="A23" s="55" t="str">
        <x:v>MutantCow</x:v>
      </x:c>
      <x:c r="B23" s="55" t="str">
        <x:v>Transformation / faune</x:v>
      </x:c>
      <x:c r="C23" s="55" t="str">
        <x:v>0940F4C8h</x:v>
      </x:c>
      <x:c r="D23" s="55" t="str">
        <x:v>092945CCh</x:v>
      </x:c>
      <x:c r="E23" s="55" t="str">
        <x:v>09294750h</x:v>
      </x:c>
      <x:c r="F23" s="55" t="str">
        <x:v>09294C7Ch</x:v>
      </x:c>
      <x:c r="G23" s="55" t="str">
        <x:v>092D33F8h</x:v>
      </x:c>
      <x:c r="H23" s="55" t="str">
        <x:v>00000000h</x:v>
      </x:c>
      <x:c r="I23" s="64" t="n">
        <x:v>0</x:v>
      </x:c>
      <x:c r="J23" s="64" t="n">
        <x:v>224</x:v>
      </x:c>
      <x:c r="K23" s="55" t="str">
        <x:v>00000000h</x:v>
      </x:c>
      <x:c r="L23" s="55" t="str">
        <x:v>00000000h</x:v>
      </x:c>
      <x:c r="M23" s="55" t="n">
        <x:v>4</x:v>
      </x:c>
      <x:c r="N23" s="61" t="str">
        <x:v>—</x:v>
      </x:c>
      <x:c r="O23" s="61" t="str">
        <x:v>N’est pas un ennemi natif à récompenser.</x:v>
      </x:c>
      <x:c r="P23" s="61" t="str">
        <x:v>Résultat du Bovinator</x:v>
      </x:c>
      <x:c r="Q23" s="61" t="str">
        <x:v>Moyenne</x:v>
      </x:c>
    </x:row>
    <x:row r="24">
      <x:c r="A24" s="55" t="str">
        <x:v>MutantMadCow</x:v>
      </x:c>
      <x:c r="B24" s="55" t="str">
        <x:v>Transformation / faune</x:v>
      </x:c>
      <x:c r="C24" s="55" t="str">
        <x:v>0940F698h</x:v>
      </x:c>
      <x:c r="D24" s="55" t="str">
        <x:v>092957DCh</x:v>
      </x:c>
      <x:c r="E24" s="55" t="str">
        <x:v>09295944h</x:v>
      </x:c>
      <x:c r="F24" s="55" t="str">
        <x:v>09295D60h</x:v>
      </x:c>
      <x:c r="G24" s="55" t="str">
        <x:v>092D33F8h</x:v>
      </x:c>
      <x:c r="H24" s="55" t="str">
        <x:v>00000000h</x:v>
      </x:c>
      <x:c r="I24" s="64" t="n">
        <x:v>0</x:v>
      </x:c>
      <x:c r="J24" s="64" t="n">
        <x:v>224</x:v>
      </x:c>
      <x:c r="K24" s="55" t="str">
        <x:v>00000000h</x:v>
      </x:c>
      <x:c r="L24" s="55" t="str">
        <x:v>00000000h</x:v>
      </x:c>
      <x:c r="M24" s="55" t="n">
        <x:v>0</x:v>
      </x:c>
      <x:c r="N24" s="61" t="str">
        <x:v>—</x:v>
      </x:c>
      <x:c r="O24" s="61" t="str">
        <x:v>XP attribuée à l’arme, pas une table ennemie autonome.</x:v>
      </x:c>
      <x:c r="P24" s="61" t="str">
        <x:v>Résultat hostile du Bovinator</x:v>
      </x:c>
      <x:c r="Q24" s="61" t="str">
        <x:v>Moyenne</x:v>
      </x:c>
    </x:row>
    <x:row r="25">
      <x:c r="A25" s="56" t="str">
        <x:v>PathAnimal</x:v>
      </x:c>
      <x:c r="B25" s="56" t="str">
        <x:v>Faune</x:v>
      </x:c>
      <x:c r="C25" s="56" t="str">
        <x:v>0940F874h</x:v>
      </x:c>
      <x:c r="D25" s="56" t="str">
        <x:v>09297464h</x:v>
      </x:c>
      <x:c r="E25" s="56" t="str">
        <x:v>0929790Ch</x:v>
      </x:c>
      <x:c r="F25" s="56" t="str">
        <x:v>09297A3Ch</x:v>
      </x:c>
      <x:c r="G25" s="56" t="str">
        <x:v>09297940h</x:v>
      </x:c>
      <x:c r="H25" s="56" t="str">
        <x:v>0940F808h</x:v>
      </x:c>
      <x:c r="I25" s="65" t="n">
        <x:v>16</x:v>
      </x:c>
      <x:c r="J25" s="65" t="n">
        <x:v>48</x:v>
      </x:c>
      <x:c r="K25" s="56" t="str">
        <x:v>00000000h</x:v>
      </x:c>
      <x:c r="L25" s="56" t="str">
        <x:v>00000000h</x:v>
      </x:c>
      <x:c r="M25" s="56" t="n">
        <x:v>0</x:v>
      </x:c>
      <x:c r="N25" s="62" t="str">
        <x:v>CurveLink path; f32 speed; u32 pad[ 2 ];</x:v>
      </x:c>
      <x:c r="O25" s="62" t="str">
        <x:v>Peut être transformé par le Bovinator.</x:v>
      </x:c>
      <x:c r="P25" s="62" t="str">
        <x:v>Animal de chemin</x:v>
      </x:c>
      <x:c r="Q25" s="62" t="str">
        <x:v>Moyenne</x:v>
      </x:c>
    </x:row>
  </x:sheetData>
  <x:mergeCells>
    <x:mergeCell ref="A1:Q1"/>
    <x:mergeCell ref="A2:Q2"/>
  </x:mergeCells>
  <x:conditionalFormatting sqref="Q6:Q25">
    <x:cfRule type="containsText" dxfId="15" priority="1" operator="containsText" text="Élevée"/>
    <x:cfRule type="containsText" dxfId="16" priority="2" operator="containsText" text="Moyenne"/>
    <x:cfRule type="containsText" dxfId="17" priority="3" operator="containsText" text="Faible"/>
  </x:conditionalFormatting>
  <x:pageMargins left="0.7" right="0.7" top="0.75" bottom="0.75" header="0.3" footer="0.3"/>
  <x:tableParts count="1">
    <x:tablePart xmlns:r="http://schemas.openxmlformats.org/officeDocument/2006/relationships" r:id="Raf3fa2b512f445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2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9" hidden="0" customWidth="1"/>
    <x:col min="11" max="11" width="44" hidden="0" customWidth="1"/>
    <x:col min="12" max="12" width="34" hidden="0" customWidth="1"/>
    <x:col min="13" max="13" width="12" hidden="0" customWidth="1"/>
  </x:cols>
  <x:sheetData>
    <x:row r="1" ht="32" customHeight="1">
      <x:c r="A1" s="3" t="str">
        <x:v>Boulons et XP des ennemis principaux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Produits bruts avant diviseur de classe, multiplicateur de mode et pénalité contextuelle.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 s="11" t="str">
        <x:v>Budget de base boulons</x:v>
      </x:c>
      <x:c r="B3" s="70" t="n">
        <x:v>7000</x:v>
      </x:c>
    </x:row>
    <x:row r="5" ht="30" customHeight="1">
      <x:c r="A5" s="47" t="str">
        <x:v>Ennemi</x:v>
      </x:c>
      <x:c r="B5" s="48" t="str">
        <x:v>Index progression</x:v>
      </x:c>
      <x:c r="C5" s="48" t="str">
        <x:v>Coeff. boulons</x:v>
      </x:c>
      <x:c r="D5" s="48" t="str">
        <x:v>Coeff. XP</x:v>
      </x:c>
      <x:c r="E5" s="48" t="str">
        <x:v>XP base normal</x:v>
      </x:c>
      <x:c r="F5" s="48" t="str">
        <x:v>XP base alternatif</x:v>
      </x:c>
      <x:c r="G5" s="48" t="str">
        <x:v>XP brute normale</x:v>
      </x:c>
      <x:c r="H5" s="48" t="str">
        <x:v>XP brute alternative</x:v>
      </x:c>
      <x:c r="I5" s="48" t="str">
        <x:v>Budget boulons base</x:v>
      </x:c>
      <x:c r="J5" s="48" t="str">
        <x:v>Budget boulons brut</x:v>
      </x:c>
      <x:c r="K5" s="48" t="str">
        <x:v>Ajustements runtime</x:v>
      </x:c>
      <x:c r="L5" s="48" t="str">
        <x:v>Preuve</x:v>
      </x:c>
      <x:c r="M5" s="49" t="str">
        <x:v>Confiance</x:v>
      </x:c>
    </x:row>
    <x:row r="6">
      <x:c r="A6" s="54" t="str">
        <x:v>Crab</x:v>
      </x:c>
      <x:c r="B6" s="54" t="n">
        <x:v>0</x:v>
      </x:c>
      <x:c r="C6" s="71" t="n">
        <x:v>0.20000000298023224</x:v>
      </x:c>
      <x:c r="D6" s="71" t="n">
        <x:v>0.20000000298023224</x:v>
      </x:c>
      <x:c r="E6" s="74" t="n">
        <x:v>0</x:v>
      </x:c>
      <x:c r="F6" s="74" t="n">
        <x:v>0</x:v>
      </x:c>
      <x:c r="G6" s="74" t="n">
        <x:f>D6*E6</x:f>
        <x:v>0</x:v>
      </x:c>
      <x:c r="H6" s="74" t="n">
        <x:f>D6*F6</x:f>
        <x:v>0</x:v>
      </x:c>
      <x:c r="I6" s="74" t="n">
        <x:f>$B$3</x:f>
        <x:v>7000</x:v>
      </x:c>
      <x:c r="J6" s="74" t="n">
        <x:f>C6*I6</x:f>
        <x:v>1400.0000208616257</x:v>
      </x:c>
      <x:c r="K6" s="60" t="str">
        <x:v>Puis division par ClassState+0x3C; XP modulée par 0x091A42F0. Le budget de boulons passe aussi par le multiplicateur 0x0915C8C4 et la répartition de BoltController.</x:v>
      </x:c>
      <x:c r="L6" s="60" t="str">
        <x:v>0x094090EC / 0x09409118</x:v>
      </x:c>
      <x:c r="M6" s="54" t="str">
        <x:v>Élevée</x:v>
      </x:c>
    </x:row>
    <x:row r="7">
      <x:c r="A7" s="55" t="str">
        <x:v>Crab</x:v>
      </x:c>
      <x:c r="B7" s="55" t="n">
        <x:v>1</x:v>
      </x:c>
      <x:c r="C7" s="72" t="n">
        <x:v>0.20000000298023224</x:v>
      </x:c>
      <x:c r="D7" s="72" t="n">
        <x:v>0.20000000298023224</x:v>
      </x:c>
      <x:c r="E7" s="75" t="n">
        <x:v>6500</x:v>
      </x:c>
      <x:c r="F7" s="75" t="n">
        <x:v>25000</x:v>
      </x:c>
      <x:c r="G7" s="75" t="n">
        <x:f>D7*E7</x:f>
        <x:v>1300.0000193715096</x:v>
      </x:c>
      <x:c r="H7" s="75" t="n">
        <x:f>D7*F7</x:f>
        <x:v>5000.000074505806</x:v>
      </x:c>
      <x:c r="I7" s="75" t="n">
        <x:f>$B$3</x:f>
        <x:v>7000</x:v>
      </x:c>
      <x:c r="J7" s="75" t="n">
        <x:f>C7*I7</x:f>
        <x:v>1400.0000208616257</x:v>
      </x:c>
      <x:c r="K7" s="61" t="str">
        <x:v>Puis division par ClassState+0x3C; XP modulée par 0x091A42F0. Le budget de boulons passe aussi par le multiplicateur 0x0915C8C4 et la répartition de BoltController.</x:v>
      </x:c>
      <x:c r="L7" s="61" t="str">
        <x:v>0x094090EC / 0x09409118</x:v>
      </x:c>
      <x:c r="M7" s="55" t="str">
        <x:v>Élevée</x:v>
      </x:c>
    </x:row>
    <x:row r="8">
      <x:c r="A8" s="55" t="str">
        <x:v>Crab</x:v>
      </x:c>
      <x:c r="B8" s="55" t="n">
        <x:v>2</x:v>
      </x:c>
      <x:c r="C8" s="72" t="n">
        <x:v>0.20000000298023224</x:v>
      </x:c>
      <x:c r="D8" s="72" t="n">
        <x:v>0.20000000298023224</x:v>
      </x:c>
      <x:c r="E8" s="75" t="n">
        <x:v>9000</x:v>
      </x:c>
      <x:c r="F8" s="75" t="n">
        <x:v>35500</x:v>
      </x:c>
      <x:c r="G8" s="75" t="n">
        <x:f>D8*E8</x:f>
        <x:v>1800.0000268220901</x:v>
      </x:c>
      <x:c r="H8" s="75" t="n">
        <x:f>D8*F8</x:f>
        <x:v>7100.0001057982445</x:v>
      </x:c>
      <x:c r="I8" s="75" t="n">
        <x:f>$B$3</x:f>
        <x:v>7000</x:v>
      </x:c>
      <x:c r="J8" s="75" t="n">
        <x:f>C8*I8</x:f>
        <x:v>1400.0000208616257</x:v>
      </x:c>
      <x:c r="K8" s="61" t="str">
        <x:v>Puis division par ClassState+0x3C; XP modulée par 0x091A42F0. Le budget de boulons passe aussi par le multiplicateur 0x0915C8C4 et la répartition de BoltController.</x:v>
      </x:c>
      <x:c r="L8" s="61" t="str">
        <x:v>0x094090EC / 0x09409118</x:v>
      </x:c>
      <x:c r="M8" s="55" t="str">
        <x:v>Élevée</x:v>
      </x:c>
    </x:row>
    <x:row r="9">
      <x:c r="A9" s="55" t="str">
        <x:v>Crab</x:v>
      </x:c>
      <x:c r="B9" s="55" t="n">
        <x:v>3</x:v>
      </x:c>
      <x:c r="C9" s="72" t="n">
        <x:v>0.20000000298023224</x:v>
      </x:c>
      <x:c r="D9" s="72" t="n">
        <x:v>0.20000000298023224</x:v>
      </x:c>
      <x:c r="E9" s="75" t="n">
        <x:v>11500</x:v>
      </x:c>
      <x:c r="F9" s="75" t="n">
        <x:v>50500</x:v>
      </x:c>
      <x:c r="G9" s="75" t="n">
        <x:f>D9*E9</x:f>
        <x:v>2300.0000342726707</x:v>
      </x:c>
      <x:c r="H9" s="75" t="n">
        <x:f>D9*F9</x:f>
        <x:v>10100.000150501728</x:v>
      </x:c>
      <x:c r="I9" s="75" t="n">
        <x:f>$B$3</x:f>
        <x:v>7000</x:v>
      </x:c>
      <x:c r="J9" s="75" t="n">
        <x:f>C9*I9</x:f>
        <x:v>1400.0000208616257</x:v>
      </x:c>
      <x:c r="K9" s="61" t="str">
        <x:v>Puis division par ClassState+0x3C; XP modulée par 0x091A42F0. Le budget de boulons passe aussi par le multiplicateur 0x0915C8C4 et la répartition de BoltController.</x:v>
      </x:c>
      <x:c r="L9" s="61" t="str">
        <x:v>0x094090EC / 0x09409118</x:v>
      </x:c>
      <x:c r="M9" s="55" t="str">
        <x:v>Élevée</x:v>
      </x:c>
    </x:row>
    <x:row r="10">
      <x:c r="A10" s="55" t="str">
        <x:v>Crab</x:v>
      </x:c>
      <x:c r="B10" s="55" t="n">
        <x:v>4</x:v>
      </x:c>
      <x:c r="C10" s="72" t="n">
        <x:v>0.20000000298023224</x:v>
      </x:c>
      <x:c r="D10" s="72" t="n">
        <x:v>0.20000000298023224</x:v>
      </x:c>
      <x:c r="E10" s="75" t="n">
        <x:v>5000</x:v>
      </x:c>
      <x:c r="F10" s="75" t="n">
        <x:v>30000</x:v>
      </x:c>
      <x:c r="G10" s="75" t="n">
        <x:f>D10*E10</x:f>
        <x:v>1000.0000149011612</x:v>
      </x:c>
      <x:c r="H10" s="75" t="n">
        <x:f>D10*F10</x:f>
        <x:v>6000.000089406967</x:v>
      </x:c>
      <x:c r="I10" s="75" t="n">
        <x:f>$B$3</x:f>
        <x:v>7000</x:v>
      </x:c>
      <x:c r="J10" s="75" t="n">
        <x:f>C10*I10</x:f>
        <x:v>1400.0000208616257</x:v>
      </x:c>
      <x:c r="K10" s="61" t="str">
        <x:v>Puis division par ClassState+0x3C; XP modulée par 0x091A42F0. Le budget de boulons passe aussi par le multiplicateur 0x0915C8C4 et la répartition de BoltController.</x:v>
      </x:c>
      <x:c r="L10" s="61" t="str">
        <x:v>0x094090EC / 0x09409118</x:v>
      </x:c>
      <x:c r="M10" s="55" t="str">
        <x:v>Élevée</x:v>
      </x:c>
    </x:row>
    <x:row r="11">
      <x:c r="A11" s="55" t="str">
        <x:v>Crab</x:v>
      </x:c>
      <x:c r="B11" s="55" t="n">
        <x:v>5</x:v>
      </x:c>
      <x:c r="C11" s="72" t="n">
        <x:v>0.20000000298023224</x:v>
      </x:c>
      <x:c r="D11" s="72" t="n">
        <x:v>0.20000000298023224</x:v>
      </x:c>
      <x:c r="E11" s="75" t="n">
        <x:v>14000</x:v>
      </x:c>
      <x:c r="F11" s="75" t="n">
        <x:v>71800</x:v>
      </x:c>
      <x:c r="G11" s="75" t="n">
        <x:f>D11*E11</x:f>
        <x:v>2800.0000417232513</x:v>
      </x:c>
      <x:c r="H11" s="75" t="n">
        <x:f>D11*F11</x:f>
        <x:v>14360.000213980675</x:v>
      </x:c>
      <x:c r="I11" s="75" t="n">
        <x:f>$B$3</x:f>
        <x:v>7000</x:v>
      </x:c>
      <x:c r="J11" s="75" t="n">
        <x:f>C11*I11</x:f>
        <x:v>1400.0000208616257</x:v>
      </x:c>
      <x:c r="K11" s="61" t="str">
        <x:v>Puis division par ClassState+0x3C; XP modulée par 0x091A42F0. Le budget de boulons passe aussi par le multiplicateur 0x0915C8C4 et la répartition de BoltController.</x:v>
      </x:c>
      <x:c r="L11" s="61" t="str">
        <x:v>0x094090EC / 0x09409118</x:v>
      </x:c>
      <x:c r="M11" s="55" t="str">
        <x:v>Élevée</x:v>
      </x:c>
    </x:row>
    <x:row r="12">
      <x:c r="A12" s="55" t="str">
        <x:v>Crab</x:v>
      </x:c>
      <x:c r="B12" s="55" t="n">
        <x:v>6</x:v>
      </x:c>
      <x:c r="C12" s="72" t="n">
        <x:v>0.20000000298023224</x:v>
      </x:c>
      <x:c r="D12" s="72" t="n">
        <x:v>0.20000000298023224</x:v>
      </x:c>
      <x:c r="E12" s="75" t="n">
        <x:v>16500</x:v>
      </x:c>
      <x:c r="F12" s="75" t="n">
        <x:v>102000</x:v>
      </x:c>
      <x:c r="G12" s="75" t="n">
        <x:f>D12*E12</x:f>
        <x:v>3300.000049173832</x:v>
      </x:c>
      <x:c r="H12" s="75" t="n">
        <x:f>D12*F12</x:f>
        <x:v>20400.00030398369</x:v>
      </x:c>
      <x:c r="I12" s="75" t="n">
        <x:f>$B$3</x:f>
        <x:v>7000</x:v>
      </x:c>
      <x:c r="J12" s="75" t="n">
        <x:f>C12*I12</x:f>
        <x:v>1400.0000208616257</x:v>
      </x:c>
      <x:c r="K12" s="61" t="str">
        <x:v>Puis division par ClassState+0x3C; XP modulée par 0x091A42F0. Le budget de boulons passe aussi par le multiplicateur 0x0915C8C4 et la répartition de BoltController.</x:v>
      </x:c>
      <x:c r="L12" s="61" t="str">
        <x:v>0x094090EC / 0x09409118</x:v>
      </x:c>
      <x:c r="M12" s="55" t="str">
        <x:v>Élevée</x:v>
      </x:c>
    </x:row>
    <x:row r="13">
      <x:c r="A13" s="55" t="str">
        <x:v>Crab</x:v>
      </x:c>
      <x:c r="B13" s="55" t="n">
        <x:v>7</x:v>
      </x:c>
      <x:c r="C13" s="72" t="n">
        <x:v>0.20000000298023224</x:v>
      </x:c>
      <x:c r="D13" s="72" t="n">
        <x:v>0.20000000298023224</x:v>
      </x:c>
      <x:c r="E13" s="75" t="n">
        <x:v>19000</x:v>
      </x:c>
      <x:c r="F13" s="75" t="n">
        <x:v>144900</x:v>
      </x:c>
      <x:c r="G13" s="75" t="n">
        <x:f>D13*E13</x:f>
        <x:v>3800.0000566244125</x:v>
      </x:c>
      <x:c r="H13" s="75" t="n">
        <x:f>D13*F13</x:f>
        <x:v>28980.00043183565</x:v>
      </x:c>
      <x:c r="I13" s="75" t="n">
        <x:f>$B$3</x:f>
        <x:v>7000</x:v>
      </x:c>
      <x:c r="J13" s="75" t="n">
        <x:f>C13*I13</x:f>
        <x:v>1400.0000208616257</x:v>
      </x:c>
      <x:c r="K13" s="61" t="str">
        <x:v>Puis division par ClassState+0x3C; XP modulée par 0x091A42F0. Le budget de boulons passe aussi par le multiplicateur 0x0915C8C4 et la répartition de BoltController.</x:v>
      </x:c>
      <x:c r="L13" s="61" t="str">
        <x:v>0x094090EC / 0x09409118</x:v>
      </x:c>
      <x:c r="M13" s="55" t="str">
        <x:v>Élevée</x:v>
      </x:c>
    </x:row>
    <x:row r="14">
      <x:c r="A14" s="55" t="str">
        <x:v>Crab</x:v>
      </x:c>
      <x:c r="B14" s="55" t="n">
        <x:v>8</x:v>
      </x:c>
      <x:c r="C14" s="72" t="n">
        <x:v>0.20000000298023224</x:v>
      </x:c>
      <x:c r="D14" s="72" t="n">
        <x:v>0.20000000298023224</x:v>
      </x:c>
      <x:c r="E14" s="75" t="n">
        <x:v>21500</x:v>
      </x:c>
      <x:c r="F14" s="75" t="n">
        <x:v>205800</x:v>
      </x:c>
      <x:c r="G14" s="75" t="n">
        <x:f>D14*E14</x:f>
        <x:v>4300.000064074993</x:v>
      </x:c>
      <x:c r="H14" s="75" t="n">
        <x:f>D14*F14</x:f>
        <x:v>41160.000613331795</x:v>
      </x:c>
      <x:c r="I14" s="75" t="n">
        <x:f>$B$3</x:f>
        <x:v>7000</x:v>
      </x:c>
      <x:c r="J14" s="75" t="n">
        <x:f>C14*I14</x:f>
        <x:v>1400.0000208616257</x:v>
      </x:c>
      <x:c r="K14" s="61" t="str">
        <x:v>Puis division par ClassState+0x3C; XP modulée par 0x091A42F0. Le budget de boulons passe aussi par le multiplicateur 0x0915C8C4 et la répartition de BoltController.</x:v>
      </x:c>
      <x:c r="L14" s="61" t="str">
        <x:v>0x094090EC / 0x09409118</x:v>
      </x:c>
      <x:c r="M14" s="55" t="str">
        <x:v>Élevée</x:v>
      </x:c>
    </x:row>
    <x:row r="15">
      <x:c r="A15" s="55" t="str">
        <x:v>Crab</x:v>
      </x:c>
      <x:c r="B15" s="55" t="n">
        <x:v>9</x:v>
      </x:c>
      <x:c r="C15" s="72" t="n">
        <x:v>0.20000000298023224</x:v>
      </x:c>
      <x:c r="D15" s="72" t="n">
        <x:v>0.20000000298023224</x:v>
      </x:c>
      <x:c r="E15" s="75" t="n">
        <x:v>24000</x:v>
      </x:c>
      <x:c r="F15" s="75" t="n">
        <x:v>292300</x:v>
      </x:c>
      <x:c r="G15" s="75" t="n">
        <x:f>D15*E15</x:f>
        <x:v>4800.000071525574</x:v>
      </x:c>
      <x:c r="H15" s="75" t="n">
        <x:f>D15*F15</x:f>
        <x:v>58460.00087112188</x:v>
      </x:c>
      <x:c r="I15" s="75" t="n">
        <x:f>$B$3</x:f>
        <x:v>7000</x:v>
      </x:c>
      <x:c r="J15" s="75" t="n">
        <x:f>C15*I15</x:f>
        <x:v>1400.0000208616257</x:v>
      </x:c>
      <x:c r="K15" s="61" t="str">
        <x:v>Puis division par ClassState+0x3C; XP modulée par 0x091A42F0. Le budget de boulons passe aussi par le multiplicateur 0x0915C8C4 et la répartition de BoltController.</x:v>
      </x:c>
      <x:c r="L15" s="61" t="str">
        <x:v>0x094090EC / 0x09409118</x:v>
      </x:c>
      <x:c r="M15" s="55" t="str">
        <x:v>Élevée</x:v>
      </x:c>
    </x:row>
    <x:row r="16">
      <x:c r="A16" s="55" t="str">
        <x:v>Crab</x:v>
      </x:c>
      <x:c r="B16" s="55" t="n">
        <x:v>10</x:v>
      </x:c>
      <x:c r="C16" s="72" t="n">
        <x:v>0.20000000298023224</x:v>
      </x:c>
      <x:c r="D16" s="72" t="n">
        <x:v>0.20000000298023224</x:v>
      </x:c>
      <x:c r="E16" s="75" t="n">
        <x:v>26500</x:v>
      </x:c>
      <x:c r="F16" s="75" t="n">
        <x:v>415100</x:v>
      </x:c>
      <x:c r="G16" s="75" t="n">
        <x:f>D16*E16</x:f>
        <x:v>5300.000078976154</x:v>
      </x:c>
      <x:c r="H16" s="75" t="n">
        <x:f>D16*F16</x:f>
        <x:v>83020.0012370944</x:v>
      </x:c>
      <x:c r="I16" s="75" t="n">
        <x:f>$B$3</x:f>
        <x:v>7000</x:v>
      </x:c>
      <x:c r="J16" s="75" t="n">
        <x:f>C16*I16</x:f>
        <x:v>1400.0000208616257</x:v>
      </x:c>
      <x:c r="K16" s="61" t="str">
        <x:v>Puis division par ClassState+0x3C; XP modulée par 0x091A42F0. Le budget de boulons passe aussi par le multiplicateur 0x0915C8C4 et la répartition de BoltController.</x:v>
      </x:c>
      <x:c r="L16" s="61" t="str">
        <x:v>0x094090EC / 0x09409118</x:v>
      </x:c>
      <x:c r="M16" s="55" t="str">
        <x:v>Élevée</x:v>
      </x:c>
    </x:row>
    <x:row r="17">
      <x:c r="A17" s="55" t="str">
        <x:v>TrainingBot</x:v>
      </x:c>
      <x:c r="B17" s="55" t="n">
        <x:v>0</x:v>
      </x:c>
      <x:c r="C17" s="72" t="n">
        <x:v>0.30000001192092896</x:v>
      </x:c>
      <x:c r="D17" s="72" t="n">
        <x:v>0.30000001192092896</x:v>
      </x:c>
      <x:c r="E17" s="75" t="n">
        <x:v>0</x:v>
      </x:c>
      <x:c r="F17" s="75" t="n">
        <x:v>0</x:v>
      </x:c>
      <x:c r="G17" s="75" t="n">
        <x:f>D17*E17</x:f>
        <x:v>0</x:v>
      </x:c>
      <x:c r="H17" s="75" t="n">
        <x:f>D17*F17</x:f>
        <x:v>0</x:v>
      </x:c>
      <x:c r="I17" s="75" t="n">
        <x:f>$B$3</x:f>
        <x:v>7000</x:v>
      </x:c>
      <x:c r="J17" s="75" t="n">
        <x:f>C17*I17</x:f>
        <x:v>2100.0000834465027</x:v>
      </x:c>
      <x:c r="K17" s="61" t="str">
        <x:v>Puis division par ClassState+0x3C; XP modulée par 0x091A42F0. Le budget de boulons passe aussi par le multiplicateur 0x0915C8C4 et la répartition de BoltController.</x:v>
      </x:c>
      <x:c r="L17" s="61" t="str">
        <x:v>0x09412E88 / 0x09412EB4</x:v>
      </x:c>
      <x:c r="M17" s="55" t="str">
        <x:v>Élevée</x:v>
      </x:c>
    </x:row>
    <x:row r="18">
      <x:c r="A18" s="55" t="str">
        <x:v>TrainingBot</x:v>
      </x:c>
      <x:c r="B18" s="55" t="n">
        <x:v>1</x:v>
      </x:c>
      <x:c r="C18" s="72" t="n">
        <x:v>0.30000001192092896</x:v>
      </x:c>
      <x:c r="D18" s="72" t="n">
        <x:v>0.30000001192092896</x:v>
      </x:c>
      <x:c r="E18" s="75" t="n">
        <x:v>6500</x:v>
      </x:c>
      <x:c r="F18" s="75" t="n">
        <x:v>25000</x:v>
      </x:c>
      <x:c r="G18" s="75" t="n">
        <x:f>D18*E18</x:f>
        <x:v>1950.0000774860382</x:v>
      </x:c>
      <x:c r="H18" s="75" t="n">
        <x:f>D18*F18</x:f>
        <x:v>7500.000298023224</x:v>
      </x:c>
      <x:c r="I18" s="75" t="n">
        <x:f>$B$3</x:f>
        <x:v>7000</x:v>
      </x:c>
      <x:c r="J18" s="75" t="n">
        <x:f>C18*I18</x:f>
        <x:v>2100.0000834465027</x:v>
      </x:c>
      <x:c r="K18" s="61" t="str">
        <x:v>Puis division par ClassState+0x3C; XP modulée par 0x091A42F0. Le budget de boulons passe aussi par le multiplicateur 0x0915C8C4 et la répartition de BoltController.</x:v>
      </x:c>
      <x:c r="L18" s="61" t="str">
        <x:v>0x09412E88 / 0x09412EB4</x:v>
      </x:c>
      <x:c r="M18" s="55" t="str">
        <x:v>Élevée</x:v>
      </x:c>
    </x:row>
    <x:row r="19">
      <x:c r="A19" s="55" t="str">
        <x:v>TrainingBot</x:v>
      </x:c>
      <x:c r="B19" s="55" t="n">
        <x:v>2</x:v>
      </x:c>
      <x:c r="C19" s="72" t="n">
        <x:v>0.30000001192092896</x:v>
      </x:c>
      <x:c r="D19" s="72" t="n">
        <x:v>0.30000001192092896</x:v>
      </x:c>
      <x:c r="E19" s="75" t="n">
        <x:v>9000</x:v>
      </x:c>
      <x:c r="F19" s="75" t="n">
        <x:v>35500</x:v>
      </x:c>
      <x:c r="G19" s="75" t="n">
        <x:f>D19*E19</x:f>
        <x:v>2700.0001072883606</x:v>
      </x:c>
      <x:c r="H19" s="75" t="n">
        <x:f>D19*F19</x:f>
        <x:v>10650.000423192978</x:v>
      </x:c>
      <x:c r="I19" s="75" t="n">
        <x:f>$B$3</x:f>
        <x:v>7000</x:v>
      </x:c>
      <x:c r="J19" s="75" t="n">
        <x:f>C19*I19</x:f>
        <x:v>2100.0000834465027</x:v>
      </x:c>
      <x:c r="K19" s="61" t="str">
        <x:v>Puis division par ClassState+0x3C; XP modulée par 0x091A42F0. Le budget de boulons passe aussi par le multiplicateur 0x0915C8C4 et la répartition de BoltController.</x:v>
      </x:c>
      <x:c r="L19" s="61" t="str">
        <x:v>0x09412E88 / 0x09412EB4</x:v>
      </x:c>
      <x:c r="M19" s="55" t="str">
        <x:v>Élevée</x:v>
      </x:c>
    </x:row>
    <x:row r="20">
      <x:c r="A20" s="55" t="str">
        <x:v>TrainingBot</x:v>
      </x:c>
      <x:c r="B20" s="55" t="n">
        <x:v>3</x:v>
      </x:c>
      <x:c r="C20" s="72" t="n">
        <x:v>0.30000001192092896</x:v>
      </x:c>
      <x:c r="D20" s="72" t="n">
        <x:v>0.30000001192092896</x:v>
      </x:c>
      <x:c r="E20" s="75" t="n">
        <x:v>11500</x:v>
      </x:c>
      <x:c r="F20" s="75" t="n">
        <x:v>50500</x:v>
      </x:c>
      <x:c r="G20" s="75" t="n">
        <x:f>D20*E20</x:f>
        <x:v>3450.000137090683</x:v>
      </x:c>
      <x:c r="H20" s="75" t="n">
        <x:f>D20*F20</x:f>
        <x:v>15150.000602006912</x:v>
      </x:c>
      <x:c r="I20" s="75" t="n">
        <x:f>$B$3</x:f>
        <x:v>7000</x:v>
      </x:c>
      <x:c r="J20" s="75" t="n">
        <x:f>C20*I20</x:f>
        <x:v>2100.0000834465027</x:v>
      </x:c>
      <x:c r="K20" s="61" t="str">
        <x:v>Puis division par ClassState+0x3C; XP modulée par 0x091A42F0. Le budget de boulons passe aussi par le multiplicateur 0x0915C8C4 et la répartition de BoltController.</x:v>
      </x:c>
      <x:c r="L20" s="61" t="str">
        <x:v>0x09412E88 / 0x09412EB4</x:v>
      </x:c>
      <x:c r="M20" s="55" t="str">
        <x:v>Élevée</x:v>
      </x:c>
    </x:row>
    <x:row r="21">
      <x:c r="A21" s="55" t="str">
        <x:v>TrainingBot</x:v>
      </x:c>
      <x:c r="B21" s="55" t="n">
        <x:v>4</x:v>
      </x:c>
      <x:c r="C21" s="72" t="n">
        <x:v>0.30000001192092896</x:v>
      </x:c>
      <x:c r="D21" s="72" t="n">
        <x:v>0.30000001192092896</x:v>
      </x:c>
      <x:c r="E21" s="75" t="n">
        <x:v>5000</x:v>
      </x:c>
      <x:c r="F21" s="75" t="n">
        <x:v>30000</x:v>
      </x:c>
      <x:c r="G21" s="75" t="n">
        <x:f>D21*E21</x:f>
        <x:v>1500.0000596046448</x:v>
      </x:c>
      <x:c r="H21" s="75" t="n">
        <x:f>D21*F21</x:f>
        <x:v>9000.000357627869</x:v>
      </x:c>
      <x:c r="I21" s="75" t="n">
        <x:f>$B$3</x:f>
        <x:v>7000</x:v>
      </x:c>
      <x:c r="J21" s="75" t="n">
        <x:f>C21*I21</x:f>
        <x:v>2100.0000834465027</x:v>
      </x:c>
      <x:c r="K21" s="61" t="str">
        <x:v>Puis division par ClassState+0x3C; XP modulée par 0x091A42F0. Le budget de boulons passe aussi par le multiplicateur 0x0915C8C4 et la répartition de BoltController.</x:v>
      </x:c>
      <x:c r="L21" s="61" t="str">
        <x:v>0x09412E88 / 0x09412EB4</x:v>
      </x:c>
      <x:c r="M21" s="55" t="str">
        <x:v>Élevée</x:v>
      </x:c>
    </x:row>
    <x:row r="22">
      <x:c r="A22" s="55" t="str">
        <x:v>TrainingBot</x:v>
      </x:c>
      <x:c r="B22" s="55" t="n">
        <x:v>5</x:v>
      </x:c>
      <x:c r="C22" s="72" t="n">
        <x:v>0.30000001192092896</x:v>
      </x:c>
      <x:c r="D22" s="72" t="n">
        <x:v>0.30000001192092896</x:v>
      </x:c>
      <x:c r="E22" s="75" t="n">
        <x:v>14000</x:v>
      </x:c>
      <x:c r="F22" s="75" t="n">
        <x:v>71800</x:v>
      </x:c>
      <x:c r="G22" s="75" t="n">
        <x:f>D22*E22</x:f>
        <x:v>4200.000166893005</x:v>
      </x:c>
      <x:c r="H22" s="75" t="n">
        <x:f>D22*F22</x:f>
        <x:v>21540.0008559227</x:v>
      </x:c>
      <x:c r="I22" s="75" t="n">
        <x:f>$B$3</x:f>
        <x:v>7000</x:v>
      </x:c>
      <x:c r="J22" s="75" t="n">
        <x:f>C22*I22</x:f>
        <x:v>2100.0000834465027</x:v>
      </x:c>
      <x:c r="K22" s="61" t="str">
        <x:v>Puis division par ClassState+0x3C; XP modulée par 0x091A42F0. Le budget de boulons passe aussi par le multiplicateur 0x0915C8C4 et la répartition de BoltController.</x:v>
      </x:c>
      <x:c r="L22" s="61" t="str">
        <x:v>0x09412E88 / 0x09412EB4</x:v>
      </x:c>
      <x:c r="M22" s="55" t="str">
        <x:v>Élevée</x:v>
      </x:c>
    </x:row>
    <x:row r="23">
      <x:c r="A23" s="55" t="str">
        <x:v>TrainingBot</x:v>
      </x:c>
      <x:c r="B23" s="55" t="n">
        <x:v>6</x:v>
      </x:c>
      <x:c r="C23" s="72" t="n">
        <x:v>0.30000001192092896</x:v>
      </x:c>
      <x:c r="D23" s="72" t="n">
        <x:v>0.30000001192092896</x:v>
      </x:c>
      <x:c r="E23" s="75" t="n">
        <x:v>16500</x:v>
      </x:c>
      <x:c r="F23" s="75" t="n">
        <x:v>102000</x:v>
      </x:c>
      <x:c r="G23" s="75" t="n">
        <x:f>D23*E23</x:f>
        <x:v>4950.000196695328</x:v>
      </x:c>
      <x:c r="H23" s="75" t="n">
        <x:f>D23*F23</x:f>
        <x:v>30600.001215934753</x:v>
      </x:c>
      <x:c r="I23" s="75" t="n">
        <x:f>$B$3</x:f>
        <x:v>7000</x:v>
      </x:c>
      <x:c r="J23" s="75" t="n">
        <x:f>C23*I23</x:f>
        <x:v>2100.0000834465027</x:v>
      </x:c>
      <x:c r="K23" s="61" t="str">
        <x:v>Puis division par ClassState+0x3C; XP modulée par 0x091A42F0. Le budget de boulons passe aussi par le multiplicateur 0x0915C8C4 et la répartition de BoltController.</x:v>
      </x:c>
      <x:c r="L23" s="61" t="str">
        <x:v>0x09412E88 / 0x09412EB4</x:v>
      </x:c>
      <x:c r="M23" s="55" t="str">
        <x:v>Élevée</x:v>
      </x:c>
    </x:row>
    <x:row r="24">
      <x:c r="A24" s="55" t="str">
        <x:v>TrainingBot</x:v>
      </x:c>
      <x:c r="B24" s="55" t="n">
        <x:v>7</x:v>
      </x:c>
      <x:c r="C24" s="72" t="n">
        <x:v>0.30000001192092896</x:v>
      </x:c>
      <x:c r="D24" s="72" t="n">
        <x:v>0.30000001192092896</x:v>
      </x:c>
      <x:c r="E24" s="75" t="n">
        <x:v>19000</x:v>
      </x:c>
      <x:c r="F24" s="75" t="n">
        <x:v>144900</x:v>
      </x:c>
      <x:c r="G24" s="75" t="n">
        <x:f>D24*E24</x:f>
        <x:v>5700.00022649765</x:v>
      </x:c>
      <x:c r="H24" s="75" t="n">
        <x:f>D24*F24</x:f>
        <x:v>43470.001727342606</x:v>
      </x:c>
      <x:c r="I24" s="75" t="n">
        <x:f>$B$3</x:f>
        <x:v>7000</x:v>
      </x:c>
      <x:c r="J24" s="75" t="n">
        <x:f>C24*I24</x:f>
        <x:v>2100.0000834465027</x:v>
      </x:c>
      <x:c r="K24" s="61" t="str">
        <x:v>Puis division par ClassState+0x3C; XP modulée par 0x091A42F0. Le budget de boulons passe aussi par le multiplicateur 0x0915C8C4 et la répartition de BoltController.</x:v>
      </x:c>
      <x:c r="L24" s="61" t="str">
        <x:v>0x09412E88 / 0x09412EB4</x:v>
      </x:c>
      <x:c r="M24" s="55" t="str">
        <x:v>Élevée</x:v>
      </x:c>
    </x:row>
    <x:row r="25">
      <x:c r="A25" s="55" t="str">
        <x:v>TrainingBot</x:v>
      </x:c>
      <x:c r="B25" s="55" t="n">
        <x:v>8</x:v>
      </x:c>
      <x:c r="C25" s="72" t="n">
        <x:v>0.30000001192092896</x:v>
      </x:c>
      <x:c r="D25" s="72" t="n">
        <x:v>0.30000001192092896</x:v>
      </x:c>
      <x:c r="E25" s="75" t="n">
        <x:v>21500</x:v>
      </x:c>
      <x:c r="F25" s="75" t="n">
        <x:v>205800</x:v>
      </x:c>
      <x:c r="G25" s="75" t="n">
        <x:f>D25*E25</x:f>
        <x:v>6450.0002562999725</x:v>
      </x:c>
      <x:c r="H25" s="75" t="n">
        <x:f>D25*F25</x:f>
        <x:v>61740.00245332718</x:v>
      </x:c>
      <x:c r="I25" s="75" t="n">
        <x:f>$B$3</x:f>
        <x:v>7000</x:v>
      </x:c>
      <x:c r="J25" s="75" t="n">
        <x:f>C25*I25</x:f>
        <x:v>2100.0000834465027</x:v>
      </x:c>
      <x:c r="K25" s="61" t="str">
        <x:v>Puis division par ClassState+0x3C; XP modulée par 0x091A42F0. Le budget de boulons passe aussi par le multiplicateur 0x0915C8C4 et la répartition de BoltController.</x:v>
      </x:c>
      <x:c r="L25" s="61" t="str">
        <x:v>0x09412E88 / 0x09412EB4</x:v>
      </x:c>
      <x:c r="M25" s="55" t="str">
        <x:v>Élevée</x:v>
      </x:c>
    </x:row>
    <x:row r="26">
      <x:c r="A26" s="55" t="str">
        <x:v>TrainingBot</x:v>
      </x:c>
      <x:c r="B26" s="55" t="n">
        <x:v>9</x:v>
      </x:c>
      <x:c r="C26" s="72" t="n">
        <x:v>0.30000001192092896</x:v>
      </x:c>
      <x:c r="D26" s="72" t="n">
        <x:v>0.30000001192092896</x:v>
      </x:c>
      <x:c r="E26" s="75" t="n">
        <x:v>24000</x:v>
      </x:c>
      <x:c r="F26" s="75" t="n">
        <x:v>292300</x:v>
      </x:c>
      <x:c r="G26" s="75" t="n">
        <x:f>D26*E26</x:f>
        <x:v>7200.000286102295</x:v>
      </x:c>
      <x:c r="H26" s="75" t="n">
        <x:f>D26*F26</x:f>
        <x:v>87690.00348448753</x:v>
      </x:c>
      <x:c r="I26" s="75" t="n">
        <x:f>$B$3</x:f>
        <x:v>7000</x:v>
      </x:c>
      <x:c r="J26" s="75" t="n">
        <x:f>C26*I26</x:f>
        <x:v>2100.0000834465027</x:v>
      </x:c>
      <x:c r="K26" s="61" t="str">
        <x:v>Puis division par ClassState+0x3C; XP modulée par 0x091A42F0. Le budget de boulons passe aussi par le multiplicateur 0x0915C8C4 et la répartition de BoltController.</x:v>
      </x:c>
      <x:c r="L26" s="61" t="str">
        <x:v>0x09412E88 / 0x09412EB4</x:v>
      </x:c>
      <x:c r="M26" s="55" t="str">
        <x:v>Élevée</x:v>
      </x:c>
    </x:row>
    <x:row r="27">
      <x:c r="A27" s="55" t="str">
        <x:v>TrainingBot</x:v>
      </x:c>
      <x:c r="B27" s="55" t="n">
        <x:v>10</x:v>
      </x:c>
      <x:c r="C27" s="72" t="n">
        <x:v>0.30000001192092896</x:v>
      </x:c>
      <x:c r="D27" s="72" t="n">
        <x:v>0.30000001192092896</x:v>
      </x:c>
      <x:c r="E27" s="75" t="n">
        <x:v>26500</x:v>
      </x:c>
      <x:c r="F27" s="75" t="n">
        <x:v>415100</x:v>
      </x:c>
      <x:c r="G27" s="75" t="n">
        <x:f>D27*E27</x:f>
        <x:v>7950.000315904617</x:v>
      </x:c>
      <x:c r="H27" s="75" t="n">
        <x:f>D27*F27</x:f>
        <x:v>124530.00494837761</x:v>
      </x:c>
      <x:c r="I27" s="75" t="n">
        <x:f>$B$3</x:f>
        <x:v>7000</x:v>
      </x:c>
      <x:c r="J27" s="75" t="n">
        <x:f>C27*I27</x:f>
        <x:v>2100.0000834465027</x:v>
      </x:c>
      <x:c r="K27" s="61" t="str">
        <x:v>Puis division par ClassState+0x3C; XP modulée par 0x091A42F0. Le budget de boulons passe aussi par le multiplicateur 0x0915C8C4 et la répartition de BoltController.</x:v>
      </x:c>
      <x:c r="L27" s="61" t="str">
        <x:v>0x09412E88 / 0x09412EB4</x:v>
      </x:c>
      <x:c r="M27" s="55" t="str">
        <x:v>Élevée</x:v>
      </x:c>
    </x:row>
    <x:row r="28">
      <x:c r="A28" s="55" t="str">
        <x:v>TMRobotHeadB</x:v>
      </x:c>
      <x:c r="B28" s="55" t="n">
        <x:v>0</x:v>
      </x:c>
      <x:c r="C28" s="72" t="n">
        <x:v>0.10000000149011612</x:v>
      </x:c>
      <x:c r="D28" s="72" t="n">
        <x:v>0.10000000149011612</x:v>
      </x:c>
      <x:c r="E28" s="75" t="n">
        <x:v>0</x:v>
      </x:c>
      <x:c r="F28" s="75" t="n">
        <x:v>0</x:v>
      </x:c>
      <x:c r="G28" s="75" t="n">
        <x:f>D28*E28</x:f>
        <x:v>0</x:v>
      </x:c>
      <x:c r="H28" s="75" t="n">
        <x:f>D28*F28</x:f>
        <x:v>0</x:v>
      </x:c>
      <x:c r="I28" s="75" t="n">
        <x:f>$B$3</x:f>
        <x:v>7000</x:v>
      </x:c>
      <x:c r="J28" s="75" t="n">
        <x:f>C28*I28</x:f>
        <x:v>700.0000104308128</x:v>
      </x:c>
      <x:c r="K28" s="61" t="str">
        <x:v>Puis division par ClassState+0x3C; XP modulée par 0x091A42F0. Le budget de boulons passe aussi par le multiplicateur 0x0915C8C4 et la répartition de BoltController.</x:v>
      </x:c>
      <x:c r="L28" s="61" t="str">
        <x:v>0x094124CC / 0x094124F8</x:v>
      </x:c>
      <x:c r="M28" s="55" t="str">
        <x:v>Élevée</x:v>
      </x:c>
    </x:row>
    <x:row r="29">
      <x:c r="A29" s="55" t="str">
        <x:v>TMRobotHeadB</x:v>
      </x:c>
      <x:c r="B29" s="55" t="n">
        <x:v>1</x:v>
      </x:c>
      <x:c r="C29" s="72" t="n">
        <x:v>0.10000000149011612</x:v>
      </x:c>
      <x:c r="D29" s="72" t="n">
        <x:v>0.10000000149011612</x:v>
      </x:c>
      <x:c r="E29" s="75" t="n">
        <x:v>6500</x:v>
      </x:c>
      <x:c r="F29" s="75" t="n">
        <x:v>25000</x:v>
      </x:c>
      <x:c r="G29" s="75" t="n">
        <x:f>D29*E29</x:f>
        <x:v>650.0000096857548</x:v>
      </x:c>
      <x:c r="H29" s="75" t="n">
        <x:f>D29*F29</x:f>
        <x:v>2500.000037252903</x:v>
      </x:c>
      <x:c r="I29" s="75" t="n">
        <x:f>$B$3</x:f>
        <x:v>7000</x:v>
      </x:c>
      <x:c r="J29" s="75" t="n">
        <x:f>C29*I29</x:f>
        <x:v>700.0000104308128</x:v>
      </x:c>
      <x:c r="K29" s="61" t="str">
        <x:v>Puis division par ClassState+0x3C; XP modulée par 0x091A42F0. Le budget de boulons passe aussi par le multiplicateur 0x0915C8C4 et la répartition de BoltController.</x:v>
      </x:c>
      <x:c r="L29" s="61" t="str">
        <x:v>0x094124CC / 0x094124F8</x:v>
      </x:c>
      <x:c r="M29" s="55" t="str">
        <x:v>Élevée</x:v>
      </x:c>
    </x:row>
    <x:row r="30">
      <x:c r="A30" s="55" t="str">
        <x:v>TMRobotHeadB</x:v>
      </x:c>
      <x:c r="B30" s="55" t="n">
        <x:v>2</x:v>
      </x:c>
      <x:c r="C30" s="72" t="n">
        <x:v>0.10000000149011612</x:v>
      </x:c>
      <x:c r="D30" s="72" t="n">
        <x:v>0.10000000149011612</x:v>
      </x:c>
      <x:c r="E30" s="75" t="n">
        <x:v>9000</x:v>
      </x:c>
      <x:c r="F30" s="75" t="n">
        <x:v>35500</x:v>
      </x:c>
      <x:c r="G30" s="75" t="n">
        <x:f>D30*E30</x:f>
        <x:v>900.0000134110451</x:v>
      </x:c>
      <x:c r="H30" s="75" t="n">
        <x:f>D30*F30</x:f>
        <x:v>3550.0000528991222</x:v>
      </x:c>
      <x:c r="I30" s="75" t="n">
        <x:f>$B$3</x:f>
        <x:v>7000</x:v>
      </x:c>
      <x:c r="J30" s="75" t="n">
        <x:f>C30*I30</x:f>
        <x:v>700.0000104308128</x:v>
      </x:c>
      <x:c r="K30" s="61" t="str">
        <x:v>Puis division par ClassState+0x3C; XP modulée par 0x091A42F0. Le budget de boulons passe aussi par le multiplicateur 0x0915C8C4 et la répartition de BoltController.</x:v>
      </x:c>
      <x:c r="L30" s="61" t="str">
        <x:v>0x094124CC / 0x094124F8</x:v>
      </x:c>
      <x:c r="M30" s="55" t="str">
        <x:v>Élevée</x:v>
      </x:c>
    </x:row>
    <x:row r="31">
      <x:c r="A31" s="55" t="str">
        <x:v>TMRobotHeadB</x:v>
      </x:c>
      <x:c r="B31" s="55" t="n">
        <x:v>3</x:v>
      </x:c>
      <x:c r="C31" s="72" t="n">
        <x:v>0.10000000149011612</x:v>
      </x:c>
      <x:c r="D31" s="72" t="n">
        <x:v>0.10000000149011612</x:v>
      </x:c>
      <x:c r="E31" s="75" t="n">
        <x:v>11500</x:v>
      </x:c>
      <x:c r="F31" s="75" t="n">
        <x:v>50500</x:v>
      </x:c>
      <x:c r="G31" s="75" t="n">
        <x:f>D31*E31</x:f>
        <x:v>1150.0000171363354</x:v>
      </x:c>
      <x:c r="H31" s="75" t="n">
        <x:f>D31*F31</x:f>
        <x:v>5050.000075250864</x:v>
      </x:c>
      <x:c r="I31" s="75" t="n">
        <x:f>$B$3</x:f>
        <x:v>7000</x:v>
      </x:c>
      <x:c r="J31" s="75" t="n">
        <x:f>C31*I31</x:f>
        <x:v>700.0000104308128</x:v>
      </x:c>
      <x:c r="K31" s="61" t="str">
        <x:v>Puis division par ClassState+0x3C; XP modulée par 0x091A42F0. Le budget de boulons passe aussi par le multiplicateur 0x0915C8C4 et la répartition de BoltController.</x:v>
      </x:c>
      <x:c r="L31" s="61" t="str">
        <x:v>0x094124CC / 0x094124F8</x:v>
      </x:c>
      <x:c r="M31" s="55" t="str">
        <x:v>Élevée</x:v>
      </x:c>
    </x:row>
    <x:row r="32">
      <x:c r="A32" s="55" t="str">
        <x:v>TMRobotHeadB</x:v>
      </x:c>
      <x:c r="B32" s="55" t="n">
        <x:v>4</x:v>
      </x:c>
      <x:c r="C32" s="72" t="n">
        <x:v>0.10000000149011612</x:v>
      </x:c>
      <x:c r="D32" s="72" t="n">
        <x:v>0.10000000149011612</x:v>
      </x:c>
      <x:c r="E32" s="75" t="n">
        <x:v>5000</x:v>
      </x:c>
      <x:c r="F32" s="75" t="n">
        <x:v>30000</x:v>
      </x:c>
      <x:c r="G32" s="75" t="n">
        <x:f>D32*E32</x:f>
        <x:v>500.0000074505806</x:v>
      </x:c>
      <x:c r="H32" s="75" t="n">
        <x:f>D32*F32</x:f>
        <x:v>3000.0000447034836</x:v>
      </x:c>
      <x:c r="I32" s="75" t="n">
        <x:f>$B$3</x:f>
        <x:v>7000</x:v>
      </x:c>
      <x:c r="J32" s="75" t="n">
        <x:f>C32*I32</x:f>
        <x:v>700.0000104308128</x:v>
      </x:c>
      <x:c r="K32" s="61" t="str">
        <x:v>Puis division par ClassState+0x3C; XP modulée par 0x091A42F0. Le budget de boulons passe aussi par le multiplicateur 0x0915C8C4 et la répartition de BoltController.</x:v>
      </x:c>
      <x:c r="L32" s="61" t="str">
        <x:v>0x094124CC / 0x094124F8</x:v>
      </x:c>
      <x:c r="M32" s="55" t="str">
        <x:v>Élevée</x:v>
      </x:c>
    </x:row>
    <x:row r="33">
      <x:c r="A33" s="55" t="str">
        <x:v>TMRobotHeadB</x:v>
      </x:c>
      <x:c r="B33" s="55" t="n">
        <x:v>5</x:v>
      </x:c>
      <x:c r="C33" s="72" t="n">
        <x:v>0.10000000149011612</x:v>
      </x:c>
      <x:c r="D33" s="72" t="n">
        <x:v>0.10000000149011612</x:v>
      </x:c>
      <x:c r="E33" s="75" t="n">
        <x:v>14000</x:v>
      </x:c>
      <x:c r="F33" s="75" t="n">
        <x:v>71800</x:v>
      </x:c>
      <x:c r="G33" s="75" t="n">
        <x:f>D33*E33</x:f>
        <x:v>1400.0000208616257</x:v>
      </x:c>
      <x:c r="H33" s="75" t="n">
        <x:f>D33*F33</x:f>
        <x:v>7180.000106990337</x:v>
      </x:c>
      <x:c r="I33" s="75" t="n">
        <x:f>$B$3</x:f>
        <x:v>7000</x:v>
      </x:c>
      <x:c r="J33" s="75" t="n">
        <x:f>C33*I33</x:f>
        <x:v>700.0000104308128</x:v>
      </x:c>
      <x:c r="K33" s="61" t="str">
        <x:v>Puis division par ClassState+0x3C; XP modulée par 0x091A42F0. Le budget de boulons passe aussi par le multiplicateur 0x0915C8C4 et la répartition de BoltController.</x:v>
      </x:c>
      <x:c r="L33" s="61" t="str">
        <x:v>0x094124CC / 0x094124F8</x:v>
      </x:c>
      <x:c r="M33" s="55" t="str">
        <x:v>Élevée</x:v>
      </x:c>
    </x:row>
    <x:row r="34">
      <x:c r="A34" s="55" t="str">
        <x:v>TMRobotHeadB</x:v>
      </x:c>
      <x:c r="B34" s="55" t="n">
        <x:v>6</x:v>
      </x:c>
      <x:c r="C34" s="72" t="n">
        <x:v>0.10000000149011612</x:v>
      </x:c>
      <x:c r="D34" s="72" t="n">
        <x:v>0.10000000149011612</x:v>
      </x:c>
      <x:c r="E34" s="75" t="n">
        <x:v>16500</x:v>
      </x:c>
      <x:c r="F34" s="75" t="n">
        <x:v>102000</x:v>
      </x:c>
      <x:c r="G34" s="75" t="n">
        <x:f>D34*E34</x:f>
        <x:v>1650.000024586916</x:v>
      </x:c>
      <x:c r="H34" s="75" t="n">
        <x:f>D34*F34</x:f>
        <x:v>10200.000151991844</x:v>
      </x:c>
      <x:c r="I34" s="75" t="n">
        <x:f>$B$3</x:f>
        <x:v>7000</x:v>
      </x:c>
      <x:c r="J34" s="75" t="n">
        <x:f>C34*I34</x:f>
        <x:v>700.0000104308128</x:v>
      </x:c>
      <x:c r="K34" s="61" t="str">
        <x:v>Puis division par ClassState+0x3C; XP modulée par 0x091A42F0. Le budget de boulons passe aussi par le multiplicateur 0x0915C8C4 et la répartition de BoltController.</x:v>
      </x:c>
      <x:c r="L34" s="61" t="str">
        <x:v>0x094124CC / 0x094124F8</x:v>
      </x:c>
      <x:c r="M34" s="55" t="str">
        <x:v>Élevée</x:v>
      </x:c>
    </x:row>
    <x:row r="35">
      <x:c r="A35" s="55" t="str">
        <x:v>TMRobotHeadB</x:v>
      </x:c>
      <x:c r="B35" s="55" t="n">
        <x:v>7</x:v>
      </x:c>
      <x:c r="C35" s="72" t="n">
        <x:v>0.10000000149011612</x:v>
      </x:c>
      <x:c r="D35" s="72" t="n">
        <x:v>0.10000000149011612</x:v>
      </x:c>
      <x:c r="E35" s="75" t="n">
        <x:v>19000</x:v>
      </x:c>
      <x:c r="F35" s="75" t="n">
        <x:v>144900</x:v>
      </x:c>
      <x:c r="G35" s="75" t="n">
        <x:f>D35*E35</x:f>
        <x:v>1900.0000283122063</x:v>
      </x:c>
      <x:c r="H35" s="75" t="n">
        <x:f>D35*F35</x:f>
        <x:v>14490.000215917826</x:v>
      </x:c>
      <x:c r="I35" s="75" t="n">
        <x:f>$B$3</x:f>
        <x:v>7000</x:v>
      </x:c>
      <x:c r="J35" s="75" t="n">
        <x:f>C35*I35</x:f>
        <x:v>700.0000104308128</x:v>
      </x:c>
      <x:c r="K35" s="61" t="str">
        <x:v>Puis division par ClassState+0x3C; XP modulée par 0x091A42F0. Le budget de boulons passe aussi par le multiplicateur 0x0915C8C4 et la répartition de BoltController.</x:v>
      </x:c>
      <x:c r="L35" s="61" t="str">
        <x:v>0x094124CC / 0x094124F8</x:v>
      </x:c>
      <x:c r="M35" s="55" t="str">
        <x:v>Élevée</x:v>
      </x:c>
    </x:row>
    <x:row r="36">
      <x:c r="A36" s="55" t="str">
        <x:v>TMRobotHeadB</x:v>
      </x:c>
      <x:c r="B36" s="55" t="n">
        <x:v>8</x:v>
      </x:c>
      <x:c r="C36" s="72" t="n">
        <x:v>0.10000000149011612</x:v>
      </x:c>
      <x:c r="D36" s="72" t="n">
        <x:v>0.10000000149011612</x:v>
      </x:c>
      <x:c r="E36" s="75" t="n">
        <x:v>21500</x:v>
      </x:c>
      <x:c r="F36" s="75" t="n">
        <x:v>205800</x:v>
      </x:c>
      <x:c r="G36" s="75" t="n">
        <x:f>D36*E36</x:f>
        <x:v>2150.0000320374966</x:v>
      </x:c>
      <x:c r="H36" s="75" t="n">
        <x:f>D36*F36</x:f>
        <x:v>20580.000306665897</x:v>
      </x:c>
      <x:c r="I36" s="75" t="n">
        <x:f>$B$3</x:f>
        <x:v>7000</x:v>
      </x:c>
      <x:c r="J36" s="75" t="n">
        <x:f>C36*I36</x:f>
        <x:v>700.0000104308128</x:v>
      </x:c>
      <x:c r="K36" s="61" t="str">
        <x:v>Puis division par ClassState+0x3C; XP modulée par 0x091A42F0. Le budget de boulons passe aussi par le multiplicateur 0x0915C8C4 et la répartition de BoltController.</x:v>
      </x:c>
      <x:c r="L36" s="61" t="str">
        <x:v>0x094124CC / 0x094124F8</x:v>
      </x:c>
      <x:c r="M36" s="55" t="str">
        <x:v>Élevée</x:v>
      </x:c>
    </x:row>
    <x:row r="37">
      <x:c r="A37" s="55" t="str">
        <x:v>TMRobotHeadB</x:v>
      </x:c>
      <x:c r="B37" s="55" t="n">
        <x:v>9</x:v>
      </x:c>
      <x:c r="C37" s="72" t="n">
        <x:v>0.10000000149011612</x:v>
      </x:c>
      <x:c r="D37" s="72" t="n">
        <x:v>0.10000000149011612</x:v>
      </x:c>
      <x:c r="E37" s="75" t="n">
        <x:v>24000</x:v>
      </x:c>
      <x:c r="F37" s="75" t="n">
        <x:v>292300</x:v>
      </x:c>
      <x:c r="G37" s="75" t="n">
        <x:f>D37*E37</x:f>
        <x:v>2400.000035762787</x:v>
      </x:c>
      <x:c r="H37" s="75" t="n">
        <x:f>D37*F37</x:f>
        <x:v>29230.00043556094</x:v>
      </x:c>
      <x:c r="I37" s="75" t="n">
        <x:f>$B$3</x:f>
        <x:v>7000</x:v>
      </x:c>
      <x:c r="J37" s="75" t="n">
        <x:f>C37*I37</x:f>
        <x:v>700.0000104308128</x:v>
      </x:c>
      <x:c r="K37" s="61" t="str">
        <x:v>Puis division par ClassState+0x3C; XP modulée par 0x091A42F0. Le budget de boulons passe aussi par le multiplicateur 0x0915C8C4 et la répartition de BoltController.</x:v>
      </x:c>
      <x:c r="L37" s="61" t="str">
        <x:v>0x094124CC / 0x094124F8</x:v>
      </x:c>
      <x:c r="M37" s="55" t="str">
        <x:v>Élevée</x:v>
      </x:c>
    </x:row>
    <x:row r="38">
      <x:c r="A38" s="55" t="str">
        <x:v>TMRobotHeadB</x:v>
      </x:c>
      <x:c r="B38" s="55" t="n">
        <x:v>10</x:v>
      </x:c>
      <x:c r="C38" s="72" t="n">
        <x:v>0.10000000149011612</x:v>
      </x:c>
      <x:c r="D38" s="72" t="n">
        <x:v>0.10000000149011612</x:v>
      </x:c>
      <x:c r="E38" s="75" t="n">
        <x:v>26500</x:v>
      </x:c>
      <x:c r="F38" s="75" t="n">
        <x:v>415100</x:v>
      </x:c>
      <x:c r="G38" s="75" t="n">
        <x:f>D38*E38</x:f>
        <x:v>2650.000039488077</x:v>
      </x:c>
      <x:c r="H38" s="75" t="n">
        <x:f>D38*F38</x:f>
        <x:v>41510.0006185472</x:v>
      </x:c>
      <x:c r="I38" s="75" t="n">
        <x:f>$B$3</x:f>
        <x:v>7000</x:v>
      </x:c>
      <x:c r="J38" s="75" t="n">
        <x:f>C38*I38</x:f>
        <x:v>700.0000104308128</x:v>
      </x:c>
      <x:c r="K38" s="61" t="str">
        <x:v>Puis division par ClassState+0x3C; XP modulée par 0x091A42F0. Le budget de boulons passe aussi par le multiplicateur 0x0915C8C4 et la répartition de BoltController.</x:v>
      </x:c>
      <x:c r="L38" s="61" t="str">
        <x:v>0x094124CC / 0x094124F8</x:v>
      </x:c>
      <x:c r="M38" s="55" t="str">
        <x:v>Élevée</x:v>
      </x:c>
    </x:row>
    <x:row r="39">
      <x:c r="A39" s="55" t="str">
        <x:v>TMRobotTorsoB</x:v>
      </x:c>
      <x:c r="B39" s="55" t="n">
        <x:v>0</x:v>
      </x:c>
      <x:c r="C39" s="72" t="n">
        <x:v>0.4000000059604645</x:v>
      </x:c>
      <x:c r="D39" s="72" t="n">
        <x:v>0.4000000059604645</x:v>
      </x:c>
      <x:c r="E39" s="75" t="n">
        <x:v>0</x:v>
      </x:c>
      <x:c r="F39" s="75" t="n">
        <x:v>0</x:v>
      </x:c>
      <x:c r="G39" s="75" t="n">
        <x:f>D39*E39</x:f>
        <x:v>0</x:v>
      </x:c>
      <x:c r="H39" s="75" t="n">
        <x:f>D39*F39</x:f>
        <x:v>0</x:v>
      </x:c>
      <x:c r="I39" s="75" t="n">
        <x:f>$B$3</x:f>
        <x:v>7000</x:v>
      </x:c>
      <x:c r="J39" s="75" t="n">
        <x:f>C39*I39</x:f>
        <x:v>2800.0000417232513</x:v>
      </x:c>
      <x:c r="K39" s="61" t="str">
        <x:v>Puis division par ClassState+0x3C; XP modulée par 0x091A42F0. Le budget de boulons passe aussi par le multiplicateur 0x0915C8C4 et la répartition de BoltController.</x:v>
      </x:c>
      <x:c r="L39" s="61" t="str">
        <x:v>0x09412838 / 0x09412864</x:v>
      </x:c>
      <x:c r="M39" s="55" t="str">
        <x:v>Élevée</x:v>
      </x:c>
    </x:row>
    <x:row r="40">
      <x:c r="A40" s="55" t="str">
        <x:v>TMRobotTorsoB</x:v>
      </x:c>
      <x:c r="B40" s="55" t="n">
        <x:v>1</x:v>
      </x:c>
      <x:c r="C40" s="72" t="n">
        <x:v>0.4000000059604645</x:v>
      </x:c>
      <x:c r="D40" s="72" t="n">
        <x:v>0.4000000059604645</x:v>
      </x:c>
      <x:c r="E40" s="75" t="n">
        <x:v>6500</x:v>
      </x:c>
      <x:c r="F40" s="75" t="n">
        <x:v>25000</x:v>
      </x:c>
      <x:c r="G40" s="75" t="n">
        <x:f>D40*E40</x:f>
        <x:v>2600.000038743019</x:v>
      </x:c>
      <x:c r="H40" s="75" t="n">
        <x:f>D40*F40</x:f>
        <x:v>10000.000149011612</x:v>
      </x:c>
      <x:c r="I40" s="75" t="n">
        <x:f>$B$3</x:f>
        <x:v>7000</x:v>
      </x:c>
      <x:c r="J40" s="75" t="n">
        <x:f>C40*I40</x:f>
        <x:v>2800.0000417232513</x:v>
      </x:c>
      <x:c r="K40" s="61" t="str">
        <x:v>Puis division par ClassState+0x3C; XP modulée par 0x091A42F0. Le budget de boulons passe aussi par le multiplicateur 0x0915C8C4 et la répartition de BoltController.</x:v>
      </x:c>
      <x:c r="L40" s="61" t="str">
        <x:v>0x09412838 / 0x09412864</x:v>
      </x:c>
      <x:c r="M40" s="55" t="str">
        <x:v>Élevée</x:v>
      </x:c>
    </x:row>
    <x:row r="41">
      <x:c r="A41" s="55" t="str">
        <x:v>TMRobotTorsoB</x:v>
      </x:c>
      <x:c r="B41" s="55" t="n">
        <x:v>2</x:v>
      </x:c>
      <x:c r="C41" s="72" t="n">
        <x:v>0.4000000059604645</x:v>
      </x:c>
      <x:c r="D41" s="72" t="n">
        <x:v>0.4000000059604645</x:v>
      </x:c>
      <x:c r="E41" s="75" t="n">
        <x:v>9000</x:v>
      </x:c>
      <x:c r="F41" s="75" t="n">
        <x:v>35500</x:v>
      </x:c>
      <x:c r="G41" s="75" t="n">
        <x:f>D41*E41</x:f>
        <x:v>3600.0000536441803</x:v>
      </x:c>
      <x:c r="H41" s="75" t="n">
        <x:f>D41*F41</x:f>
        <x:v>14200.000211596489</x:v>
      </x:c>
      <x:c r="I41" s="75" t="n">
        <x:f>$B$3</x:f>
        <x:v>7000</x:v>
      </x:c>
      <x:c r="J41" s="75" t="n">
        <x:f>C41*I41</x:f>
        <x:v>2800.0000417232513</x:v>
      </x:c>
      <x:c r="K41" s="61" t="str">
        <x:v>Puis division par ClassState+0x3C; XP modulée par 0x091A42F0. Le budget de boulons passe aussi par le multiplicateur 0x0915C8C4 et la répartition de BoltController.</x:v>
      </x:c>
      <x:c r="L41" s="61" t="str">
        <x:v>0x09412838 / 0x09412864</x:v>
      </x:c>
      <x:c r="M41" s="55" t="str">
        <x:v>Élevée</x:v>
      </x:c>
    </x:row>
    <x:row r="42">
      <x:c r="A42" s="55" t="str">
        <x:v>TMRobotTorsoB</x:v>
      </x:c>
      <x:c r="B42" s="55" t="n">
        <x:v>3</x:v>
      </x:c>
      <x:c r="C42" s="72" t="n">
        <x:v>0.4000000059604645</x:v>
      </x:c>
      <x:c r="D42" s="72" t="n">
        <x:v>0.4000000059604645</x:v>
      </x:c>
      <x:c r="E42" s="75" t="n">
        <x:v>11500</x:v>
      </x:c>
      <x:c r="F42" s="75" t="n">
        <x:v>50500</x:v>
      </x:c>
      <x:c r="G42" s="75" t="n">
        <x:f>D42*E42</x:f>
        <x:v>4600.0000685453415</x:v>
      </x:c>
      <x:c r="H42" s="75" t="n">
        <x:f>D42*F42</x:f>
        <x:v>20200.000301003456</x:v>
      </x:c>
      <x:c r="I42" s="75" t="n">
        <x:f>$B$3</x:f>
        <x:v>7000</x:v>
      </x:c>
      <x:c r="J42" s="75" t="n">
        <x:f>C42*I42</x:f>
        <x:v>2800.0000417232513</x:v>
      </x:c>
      <x:c r="K42" s="61" t="str">
        <x:v>Puis division par ClassState+0x3C; XP modulée par 0x091A42F0. Le budget de boulons passe aussi par le multiplicateur 0x0915C8C4 et la répartition de BoltController.</x:v>
      </x:c>
      <x:c r="L42" s="61" t="str">
        <x:v>0x09412838 / 0x09412864</x:v>
      </x:c>
      <x:c r="M42" s="55" t="str">
        <x:v>Élevée</x:v>
      </x:c>
    </x:row>
    <x:row r="43">
      <x:c r="A43" s="55" t="str">
        <x:v>TMRobotTorsoB</x:v>
      </x:c>
      <x:c r="B43" s="55" t="n">
        <x:v>4</x:v>
      </x:c>
      <x:c r="C43" s="72" t="n">
        <x:v>0.4000000059604645</x:v>
      </x:c>
      <x:c r="D43" s="72" t="n">
        <x:v>0.4000000059604645</x:v>
      </x:c>
      <x:c r="E43" s="75" t="n">
        <x:v>5000</x:v>
      </x:c>
      <x:c r="F43" s="75" t="n">
        <x:v>30000</x:v>
      </x:c>
      <x:c r="G43" s="75" t="n">
        <x:f>D43*E43</x:f>
        <x:v>2000.0000298023224</x:v>
      </x:c>
      <x:c r="H43" s="75" t="n">
        <x:f>D43*F43</x:f>
        <x:v>12000.000178813934</x:v>
      </x:c>
      <x:c r="I43" s="75" t="n">
        <x:f>$B$3</x:f>
        <x:v>7000</x:v>
      </x:c>
      <x:c r="J43" s="75" t="n">
        <x:f>C43*I43</x:f>
        <x:v>2800.0000417232513</x:v>
      </x:c>
      <x:c r="K43" s="61" t="str">
        <x:v>Puis division par ClassState+0x3C; XP modulée par 0x091A42F0. Le budget de boulons passe aussi par le multiplicateur 0x0915C8C4 et la répartition de BoltController.</x:v>
      </x:c>
      <x:c r="L43" s="61" t="str">
        <x:v>0x09412838 / 0x09412864</x:v>
      </x:c>
      <x:c r="M43" s="55" t="str">
        <x:v>Élevée</x:v>
      </x:c>
    </x:row>
    <x:row r="44">
      <x:c r="A44" s="55" t="str">
        <x:v>TMRobotTorsoB</x:v>
      </x:c>
      <x:c r="B44" s="55" t="n">
        <x:v>5</x:v>
      </x:c>
      <x:c r="C44" s="72" t="n">
        <x:v>0.4000000059604645</x:v>
      </x:c>
      <x:c r="D44" s="72" t="n">
        <x:v>0.4000000059604645</x:v>
      </x:c>
      <x:c r="E44" s="75" t="n">
        <x:v>14000</x:v>
      </x:c>
      <x:c r="F44" s="75" t="n">
        <x:v>71800</x:v>
      </x:c>
      <x:c r="G44" s="75" t="n">
        <x:f>D44*E44</x:f>
        <x:v>5600.000083446503</x:v>
      </x:c>
      <x:c r="H44" s="75" t="n">
        <x:f>D44*F44</x:f>
        <x:v>28720.00042796135</x:v>
      </x:c>
      <x:c r="I44" s="75" t="n">
        <x:f>$B$3</x:f>
        <x:v>7000</x:v>
      </x:c>
      <x:c r="J44" s="75" t="n">
        <x:f>C44*I44</x:f>
        <x:v>2800.0000417232513</x:v>
      </x:c>
      <x:c r="K44" s="61" t="str">
        <x:v>Puis division par ClassState+0x3C; XP modulée par 0x091A42F0. Le budget de boulons passe aussi par le multiplicateur 0x0915C8C4 et la répartition de BoltController.</x:v>
      </x:c>
      <x:c r="L44" s="61" t="str">
        <x:v>0x09412838 / 0x09412864</x:v>
      </x:c>
      <x:c r="M44" s="55" t="str">
        <x:v>Élevée</x:v>
      </x:c>
    </x:row>
    <x:row r="45">
      <x:c r="A45" s="55" t="str">
        <x:v>TMRobotTorsoB</x:v>
      </x:c>
      <x:c r="B45" s="55" t="n">
        <x:v>6</x:v>
      </x:c>
      <x:c r="C45" s="72" t="n">
        <x:v>0.4000000059604645</x:v>
      </x:c>
      <x:c r="D45" s="72" t="n">
        <x:v>0.4000000059604645</x:v>
      </x:c>
      <x:c r="E45" s="75" t="n">
        <x:v>16500</x:v>
      </x:c>
      <x:c r="F45" s="75" t="n">
        <x:v>102000</x:v>
      </x:c>
      <x:c r="G45" s="75" t="n">
        <x:f>D45*E45</x:f>
        <x:v>6600.000098347664</x:v>
      </x:c>
      <x:c r="H45" s="75" t="n">
        <x:f>D45*F45</x:f>
        <x:v>40800.00060796738</x:v>
      </x:c>
      <x:c r="I45" s="75" t="n">
        <x:f>$B$3</x:f>
        <x:v>7000</x:v>
      </x:c>
      <x:c r="J45" s="75" t="n">
        <x:f>C45*I45</x:f>
        <x:v>2800.0000417232513</x:v>
      </x:c>
      <x:c r="K45" s="61" t="str">
        <x:v>Puis division par ClassState+0x3C; XP modulée par 0x091A42F0. Le budget de boulons passe aussi par le multiplicateur 0x0915C8C4 et la répartition de BoltController.</x:v>
      </x:c>
      <x:c r="L45" s="61" t="str">
        <x:v>0x09412838 / 0x09412864</x:v>
      </x:c>
      <x:c r="M45" s="55" t="str">
        <x:v>Élevée</x:v>
      </x:c>
    </x:row>
    <x:row r="46">
      <x:c r="A46" s="55" t="str">
        <x:v>TMRobotTorsoB</x:v>
      </x:c>
      <x:c r="B46" s="55" t="n">
        <x:v>7</x:v>
      </x:c>
      <x:c r="C46" s="72" t="n">
        <x:v>0.4000000059604645</x:v>
      </x:c>
      <x:c r="D46" s="72" t="n">
        <x:v>0.4000000059604645</x:v>
      </x:c>
      <x:c r="E46" s="75" t="n">
        <x:v>19000</x:v>
      </x:c>
      <x:c r="F46" s="75" t="n">
        <x:v>144900</x:v>
      </x:c>
      <x:c r="G46" s="75" t="n">
        <x:f>D46*E46</x:f>
        <x:v>7600.000113248825</x:v>
      </x:c>
      <x:c r="H46" s="75" t="n">
        <x:f>D46*F46</x:f>
        <x:v>57960.0008636713</x:v>
      </x:c>
      <x:c r="I46" s="75" t="n">
        <x:f>$B$3</x:f>
        <x:v>7000</x:v>
      </x:c>
      <x:c r="J46" s="75" t="n">
        <x:f>C46*I46</x:f>
        <x:v>2800.0000417232513</x:v>
      </x:c>
      <x:c r="K46" s="61" t="str">
        <x:v>Puis division par ClassState+0x3C; XP modulée par 0x091A42F0. Le budget de boulons passe aussi par le multiplicateur 0x0915C8C4 et la répartition de BoltController.</x:v>
      </x:c>
      <x:c r="L46" s="61" t="str">
        <x:v>0x09412838 / 0x09412864</x:v>
      </x:c>
      <x:c r="M46" s="55" t="str">
        <x:v>Élevée</x:v>
      </x:c>
    </x:row>
    <x:row r="47">
      <x:c r="A47" s="55" t="str">
        <x:v>TMRobotTorsoB</x:v>
      </x:c>
      <x:c r="B47" s="55" t="n">
        <x:v>8</x:v>
      </x:c>
      <x:c r="C47" s="72" t="n">
        <x:v>0.4000000059604645</x:v>
      </x:c>
      <x:c r="D47" s="72" t="n">
        <x:v>0.4000000059604645</x:v>
      </x:c>
      <x:c r="E47" s="75" t="n">
        <x:v>21500</x:v>
      </x:c>
      <x:c r="F47" s="75" t="n">
        <x:v>205800</x:v>
      </x:c>
      <x:c r="G47" s="75" t="n">
        <x:f>D47*E47</x:f>
        <x:v>8600.000128149986</x:v>
      </x:c>
      <x:c r="H47" s="75" t="n">
        <x:f>D47*F47</x:f>
        <x:v>82320.00122666359</x:v>
      </x:c>
      <x:c r="I47" s="75" t="n">
        <x:f>$B$3</x:f>
        <x:v>7000</x:v>
      </x:c>
      <x:c r="J47" s="75" t="n">
        <x:f>C47*I47</x:f>
        <x:v>2800.0000417232513</x:v>
      </x:c>
      <x:c r="K47" s="61" t="str">
        <x:v>Puis division par ClassState+0x3C; XP modulée par 0x091A42F0. Le budget de boulons passe aussi par le multiplicateur 0x0915C8C4 et la répartition de BoltController.</x:v>
      </x:c>
      <x:c r="L47" s="61" t="str">
        <x:v>0x09412838 / 0x09412864</x:v>
      </x:c>
      <x:c r="M47" s="55" t="str">
        <x:v>Élevée</x:v>
      </x:c>
    </x:row>
    <x:row r="48">
      <x:c r="A48" s="55" t="str">
        <x:v>TMRobotTorsoB</x:v>
      </x:c>
      <x:c r="B48" s="55" t="n">
        <x:v>9</x:v>
      </x:c>
      <x:c r="C48" s="72" t="n">
        <x:v>0.4000000059604645</x:v>
      </x:c>
      <x:c r="D48" s="72" t="n">
        <x:v>0.4000000059604645</x:v>
      </x:c>
      <x:c r="E48" s="75" t="n">
        <x:v>24000</x:v>
      </x:c>
      <x:c r="F48" s="75" t="n">
        <x:v>292300</x:v>
      </x:c>
      <x:c r="G48" s="75" t="n">
        <x:f>D48*E48</x:f>
        <x:v>9600.000143051147</x:v>
      </x:c>
      <x:c r="H48" s="75" t="n">
        <x:f>D48*F48</x:f>
        <x:v>116920.00174224377</x:v>
      </x:c>
      <x:c r="I48" s="75" t="n">
        <x:f>$B$3</x:f>
        <x:v>7000</x:v>
      </x:c>
      <x:c r="J48" s="75" t="n">
        <x:f>C48*I48</x:f>
        <x:v>2800.0000417232513</x:v>
      </x:c>
      <x:c r="K48" s="61" t="str">
        <x:v>Puis division par ClassState+0x3C; XP modulée par 0x091A42F0. Le budget de boulons passe aussi par le multiplicateur 0x0915C8C4 et la répartition de BoltController.</x:v>
      </x:c>
      <x:c r="L48" s="61" t="str">
        <x:v>0x09412838 / 0x09412864</x:v>
      </x:c>
      <x:c r="M48" s="55" t="str">
        <x:v>Élevée</x:v>
      </x:c>
    </x:row>
    <x:row r="49">
      <x:c r="A49" s="56" t="str">
        <x:v>TMRobotTorsoB</x:v>
      </x:c>
      <x:c r="B49" s="56" t="n">
        <x:v>10</x:v>
      </x:c>
      <x:c r="C49" s="73" t="n">
        <x:v>0.4000000059604645</x:v>
      </x:c>
      <x:c r="D49" s="73" t="n">
        <x:v>0.4000000059604645</x:v>
      </x:c>
      <x:c r="E49" s="76" t="n">
        <x:v>26500</x:v>
      </x:c>
      <x:c r="F49" s="76" t="n">
        <x:v>415100</x:v>
      </x:c>
      <x:c r="G49" s="76" t="n">
        <x:f>D49*E49</x:f>
        <x:v>10600.000157952309</x:v>
      </x:c>
      <x:c r="H49" s="76" t="n">
        <x:f>D49*F49</x:f>
        <x:v>166040.0024741888</x:v>
      </x:c>
      <x:c r="I49" s="76" t="n">
        <x:f>$B$3</x:f>
        <x:v>7000</x:v>
      </x:c>
      <x:c r="J49" s="76" t="n">
        <x:f>C49*I49</x:f>
        <x:v>2800.0000417232513</x:v>
      </x:c>
      <x:c r="K49" s="62" t="str">
        <x:v>Puis division par ClassState+0x3C; XP modulée par 0x091A42F0. Le budget de boulons passe aussi par le multiplicateur 0x0915C8C4 et la répartition de BoltController.</x:v>
      </x:c>
      <x:c r="L49" s="62" t="str">
        <x:v>0x09412838 / 0x09412864</x:v>
      </x:c>
      <x:c r="M49" s="56" t="str">
        <x:v>Élevée</x:v>
      </x:c>
    </x:row>
  </x:sheetData>
  <x:mergeCells>
    <x:mergeCell ref="A1:M1"/>
    <x:mergeCell ref="A2:M2"/>
  </x:mergeCells>
  <x:conditionalFormatting sqref="M6:M49">
    <x:cfRule type="containsText" dxfId="18" priority="1" operator="containsText" text="Élevée"/>
    <x:cfRule type="containsText" dxfId="19" priority="2" operator="containsText" text="Moyenne"/>
    <x:cfRule type="containsText" dxfId="20" priority="3" operator="containsText" text="Faible"/>
  </x:conditionalFormatting>
  <x:pageMargins left="0.7" right="0.7" top="0.75" bottom="0.75" header="0.3" footer="0.3"/>
  <x:tableParts count="1">
    <x:tablePart xmlns:r="http://schemas.openxmlformats.org/officeDocument/2006/relationships" r:id="Re8d92046a6f646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38" hidden="0" customWidth="1"/>
    <x:col min="4" max="4" width="14" hidden="0" customWidth="1"/>
    <x:col min="5" max="5" width="13" hidden="0" customWidth="1"/>
    <x:col min="6" max="6" width="20" hidden="0" customWidth="1"/>
    <x:col min="7" max="7" width="27" hidden="0" customWidth="1"/>
    <x:col min="8" max="8" width="14" hidden="0" customWidth="1"/>
    <x:col min="9" max="9" width="27" hidden="0" customWidth="1"/>
    <x:col min="10" max="10" width="15" hidden="0" customWidth="1"/>
    <x:col min="11" max="11" width="12" hidden="0" customWidth="1"/>
    <x:col min="12" max="12" width="40" hidden="0" customWidth="1"/>
  </x:cols>
  <x:sheetData>
    <x:row r="1" ht="32" customHeight="1">
      <x:c r="A1" s="3" t="str">
        <x:v>Timings des ennemis et dangers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Constantes directement reliées au temps ou au nombre d’updates dans Pokitaru.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5" ht="30" customHeight="1">
      <x:c r="A5" s="47" t="str">
        <x:v>Classe</x:v>
      </x:c>
      <x:c r="B5" s="48" t="str">
        <x:v>Mécanique</x:v>
      </x:c>
      <x:c r="C5" s="48" t="str">
        <x:v>Adresse(s)</x:v>
      </x:c>
      <x:c r="D5" s="48" t="str">
        <x:v>Type</x:v>
      </x:c>
      <x:c r="E5" s="48" t="str">
        <x:v>Vanilla</x:v>
      </x:c>
      <x:c r="F5" s="48" t="str">
        <x:v>Unité / temps 30 FPS</x:v>
      </x:c>
      <x:c r="G5" s="48" t="str">
        <x:v>60 FPS socle sans fix</x:v>
      </x:c>
      <x:c r="H5" s="48" t="str">
        <x:v>Valeur patch</x:v>
      </x:c>
      <x:c r="I5" s="48" t="str">
        <x:v>Résultat attendu</x:v>
      </x:c>
      <x:c r="J5" s="48" t="str">
        <x:v>Statut</x:v>
      </x:c>
      <x:c r="K5" s="48" t="str">
        <x:v>Confiance</x:v>
      </x:c>
      <x:c r="L5" s="49" t="str">
        <x:v>Notes</x:v>
      </x:c>
    </x:row>
    <x:row r="6">
      <x:c r="A6" s="54" t="str">
        <x:v>Crab</x:v>
      </x:c>
      <x:c r="B6" s="54" t="str">
        <x:v>Vitesse de poursuite</x:v>
      </x:c>
      <x:c r="C6" s="54" t="str">
        <x:v>09409028h</x:v>
      </x:c>
      <x:c r="D6" s="54" t="str">
        <x:v>float</x:v>
      </x:c>
      <x:c r="E6" s="66" t="n">
        <x:v>0.2333333</x:v>
      </x:c>
      <x:c r="F6" s="60" t="str">
        <x:v>unités/update</x:v>
      </x:c>
      <x:c r="G6" s="60" t="str">
        <x:v>Déplacement réel ×2</x:v>
      </x:c>
      <x:c r="H6" s="77" t="n">
        <x:v>0.1166667</x:v>
      </x:c>
      <x:c r="I6" s="60" t="str">
        <x:v>Vitesse réelle 30 Hz</x:v>
      </x:c>
      <x:c r="J6" s="60" t="str">
        <x:v>VALIDÉ</x:v>
      </x:c>
      <x:c r="K6" s="60" t="str">
        <x:v>Élevée</x:v>
      </x:c>
      <x:c r="L6" s="60" t="str">
        <x:v>Patch direct table.</x:v>
      </x:c>
    </x:row>
    <x:row r="7">
      <x:c r="A7" s="55" t="str">
        <x:v>Crab</x:v>
      </x:c>
      <x:c r="B7" s="55" t="str">
        <x:v>Seuil d’attaque</x:v>
      </x:c>
      <x:c r="C7" s="55" t="str">
        <x:v>094090C8h</x:v>
      </x:c>
      <x:c r="D7" s="55" t="str">
        <x:v>updates</x:v>
      </x:c>
      <x:c r="E7" s="67" t="n">
        <x:v>27</x:v>
      </x:c>
      <x:c r="F7" s="61" t="str">
        <x:v>0,90 s à 30 Hz</x:v>
      </x:c>
      <x:c r="G7" s="61" t="str">
        <x:v>0,45 s</x:v>
      </x:c>
      <x:c r="H7" s="78" t="n">
        <x:v>54</x:v>
      </x:c>
      <x:c r="I7" s="61" t="str">
        <x:v>0,90 s</x:v>
      </x:c>
      <x:c r="J7" s="61" t="str">
        <x:v>VALIDÉ</x:v>
      </x:c>
      <x:c r="K7" s="61" t="str">
        <x:v>Élevée</x:v>
      </x:c>
      <x:c r="L7" s="61" t="str">
        <x:v>Doublement du seuil.</x:v>
      </x:c>
    </x:row>
    <x:row r="8">
      <x:c r="A8" s="55" t="str">
        <x:v>Crab / navigation</x:v>
      </x:c>
      <x:c r="B8" s="55" t="str">
        <x:v>Lissages XYZ</x:v>
      </x:c>
      <x:c r="C8" s="55" t="str">
        <x:v>0x09162C88 / 0x09162CAC / 0x09162CD0</x:v>
      </x:c>
      <x:c r="D8" s="55" t="str">
        <x:v>appels</x:v>
      </x:c>
      <x:c r="E8" s="67" t="n">
        <x:v>2</x:v>
      </x:c>
      <x:c r="F8" s="61" t="str">
        <x:v>deux passes par update</x:v>
      </x:c>
      <x:c r="G8" s="61" t="str">
        <x:v>Deux fois trop de passes</x:v>
      </x:c>
      <x:c r="H8" s="78" t="n">
        <x:v>1</x:v>
      </x:c>
      <x:c r="I8" s="61" t="str">
        <x:v>une passe par update à 60 Hz</x:v>
      </x:c>
      <x:c r="J8" s="61" t="str">
        <x:v>REPLAY</x:v>
      </x:c>
      <x:c r="K8" s="61" t="str">
        <x:v>Élevée</x:v>
      </x:c>
      <x:c r="L8" s="61" t="str">
        <x:v>Wrapper local, partagé avec d’autres objets.</x:v>
      </x:c>
    </x:row>
    <x:row r="9">
      <x:c r="A9" s="55" t="str">
        <x:v>TrainingBot</x:v>
      </x:c>
      <x:c r="B9" s="55" t="str">
        <x:v>Vitesse</x:v>
      </x:c>
      <x:c r="C9" s="55" t="str">
        <x:v>09412D18h</x:v>
      </x:c>
      <x:c r="D9" s="55" t="str">
        <x:v>float</x:v>
      </x:c>
      <x:c r="E9" s="67" t="n">
        <x:v>0.2</x:v>
      </x:c>
      <x:c r="F9" s="61" t="str">
        <x:v>unités/update</x:v>
      </x:c>
      <x:c r="G9" s="61" t="str">
        <x:v>Déplacement réel ×2</x:v>
      </x:c>
      <x:c r="H9" s="78" t="n">
        <x:v>0.1</x:v>
      </x:c>
      <x:c r="I9" s="61" t="str">
        <x:v>Vitesse réelle 30 Hz</x:v>
      </x:c>
      <x:c r="J9" s="61" t="str">
        <x:v>VALIDÉ</x:v>
      </x:c>
      <x:c r="K9" s="61" t="str">
        <x:v>Élevée</x:v>
      </x:c>
      <x:c r="L9" s="61" t="str">
        <x:v>Patch direct table.</x:v>
      </x:c>
    </x:row>
    <x:row r="10">
      <x:c r="A10" s="55" t="str">
        <x:v>TrainingBot</x:v>
      </x:c>
      <x:c r="B10" s="55" t="str">
        <x:v>Début de hitbox</x:v>
      </x:c>
      <x:c r="C10" s="55" t="str">
        <x:v>092BF014h</x:v>
      </x:c>
      <x:c r="D10" s="55" t="str">
        <x:v>updates</x:v>
      </x:c>
      <x:c r="E10" s="67" t="n">
        <x:v>50</x:v>
      </x:c>
      <x:c r="F10" s="61" t="str">
        <x:v>1,667 s</x:v>
      </x:c>
      <x:c r="G10" s="61" t="str">
        <x:v>0,833 s</x:v>
      </x:c>
      <x:c r="H10" s="78" t="n">
        <x:v>100</x:v>
      </x:c>
      <x:c r="I10" s="61" t="str">
        <x:v>1,667 s</x:v>
      </x:c>
      <x:c r="J10" s="61" t="str">
        <x:v>VALIDÉ</x:v>
      </x:c>
      <x:c r="K10" s="61" t="str">
        <x:v>Élevée</x:v>
      </x:c>
      <x:c r="L10" s="61" t="str">
        <x:v>Immédiat MIPS 50→100.</x:v>
      </x:c>
    </x:row>
    <x:row r="11">
      <x:c r="A11" s="55" t="str">
        <x:v>TrainingBot</x:v>
      </x:c>
      <x:c r="B11" s="55" t="str">
        <x:v>Fin de hitbox</x:v>
      </x:c>
      <x:c r="C11" s="55" t="str">
        <x:v>092BF01Ch</x:v>
      </x:c>
      <x:c r="D11" s="55" t="str">
        <x:v>updates</x:v>
      </x:c>
      <x:c r="E11" s="67" t="n">
        <x:v>53</x:v>
      </x:c>
      <x:c r="F11" s="61" t="str">
        <x:v>1,767 s</x:v>
      </x:c>
      <x:c r="G11" s="61" t="str">
        <x:v>0,883 s</x:v>
      </x:c>
      <x:c r="H11" s="78" t="n">
        <x:v>106</x:v>
      </x:c>
      <x:c r="I11" s="61" t="str">
        <x:v>1,767 s</x:v>
      </x:c>
      <x:c r="J11" s="61" t="str">
        <x:v>VALIDÉ</x:v>
      </x:c>
      <x:c r="K11" s="61" t="str">
        <x:v>Élevée</x:v>
      </x:c>
      <x:c r="L11" s="61" t="str">
        <x:v>Immédiat MIPS 53→106.</x:v>
      </x:c>
    </x:row>
    <x:row r="12">
      <x:c r="A12" s="55" t="str">
        <x:v>EnemyWave</x:v>
      </x:c>
      <x:c r="B12" s="55" t="str">
        <x:v>Delta privé</x:v>
      </x:c>
      <x:c r="C12" s="55" t="str">
        <x:v>09271C5Ch</x:v>
      </x:c>
      <x:c r="D12" s="55" t="str">
        <x:v>secondes/update</x:v>
      </x:c>
      <x:c r="E12" s="67" t="n">
        <x:v>0.03333333333333333</x:v>
      </x:c>
      <x:c r="F12" s="61" t="str">
        <x:v>1/30</x:v>
      </x:c>
      <x:c r="G12" s="61" t="str">
        <x:v>Progression ×2</x:v>
      </x:c>
      <x:c r="H12" s="78" t="n">
        <x:v>0.016666666666666666</x:v>
      </x:c>
      <x:c r="I12" s="61" t="str">
        <x:v>Progression 30 Hz</x:v>
      </x:c>
      <x:c r="J12" s="61" t="str">
        <x:v>VALIDÉ</x:v>
      </x:c>
      <x:c r="K12" s="61" t="str">
        <x:v>Élevée</x:v>
      </x:c>
      <x:c r="L12" s="61" t="str">
        <x:v>Delta propre à la vague.</x:v>
      </x:c>
    </x:row>
    <x:row r="13">
      <x:c r="A13" s="55" t="str">
        <x:v>TMRobotHeadB</x:v>
      </x:c>
      <x:c r="B13" s="55" t="str">
        <x:v>Vitesse / mêlée</x:v>
      </x:c>
      <x:c r="C13" s="55" t="str">
        <x:v>0941244Ch</x:v>
      </x:c>
      <x:c r="D13" s="55" t="str">
        <x:v>float</x:v>
      </x:c>
      <x:c r="E13" s="67" t="n">
        <x:v>0.1333333</x:v>
      </x:c>
      <x:c r="F13" s="61" t="str">
        <x:v>unités/update</x:v>
      </x:c>
      <x:c r="G13" s="61" t="str">
        <x:v>Mouvement ×2</x:v>
      </x:c>
      <x:c r="H13" s="78" t="n">
        <x:v>0.0666667</x:v>
      </x:c>
      <x:c r="I13" s="61" t="str">
        <x:v>Vitesse réelle 30 Hz</x:v>
      </x:c>
      <x:c r="J13" s="61" t="str">
        <x:v>VALIDÉ</x:v>
      </x:c>
      <x:c r="K13" s="61" t="str">
        <x:v>Élevée</x:v>
      </x:c>
      <x:c r="L13" s="61" t="str">
        <x:v>Patch direct table.</x:v>
      </x:c>
    </x:row>
    <x:row r="14">
      <x:c r="A14" s="55" t="str">
        <x:v>DropshipB</x:v>
      </x:c>
      <x:c r="B14" s="55" t="str">
        <x:v>Facteur d’initialisation</x:v>
      </x:c>
      <x:c r="C14" s="55" t="str">
        <x:v>09269344h</x:v>
      </x:c>
      <x:c r="D14" s="55" t="str">
        <x:v>float</x:v>
      </x:c>
      <x:c r="E14" s="67" t="n">
        <x:v>2</x:v>
      </x:c>
      <x:c r="F14" s="61" t="str">
        <x:v>facteur</x:v>
      </x:c>
      <x:c r="G14" s="61" t="str">
        <x:v>Vol/largage accélérés</x:v>
      </x:c>
      <x:c r="H14" s="78" t="n">
        <x:v>1</x:v>
      </x:c>
      <x:c r="I14" s="61" t="str">
        <x:v>Normalisation</x:v>
      </x:c>
      <x:c r="J14" s="61" t="str">
        <x:v>VALIDÉ</x:v>
      </x:c>
      <x:c r="K14" s="61" t="str">
        <x:v>Élevée</x:v>
      </x:c>
      <x:c r="L14" s="61" t="str">
        <x:v>Combiné avec le lissage local 0x09268694.</x:v>
      </x:c>
    </x:row>
    <x:row r="15">
      <x:c r="A15" s="55" t="str">
        <x:v>SharkagatorFin</x:v>
      </x:c>
      <x:c r="B15" s="55" t="str">
        <x:v>Lissages locaux</x:v>
      </x:c>
      <x:c r="C15" s="55" t="str">
        <x:v>0x092A563C / 0x092A5658 / 0x092A5940 / 0x092A5964 / 0x092A5A30</x:v>
      </x:c>
      <x:c r="D15" s="55" t="str">
        <x:v>appels</x:v>
      </x:c>
      <x:c r="E15" s="67" t="n">
        <x:v>2</x:v>
      </x:c>
      <x:c r="F15" s="61" t="str">
        <x:v>wrapper deux passes</x:v>
      </x:c>
      <x:c r="G15" s="61" t="str">
        <x:v>Aileron accéléré</x:v>
      </x:c>
      <x:c r="H15" s="78" t="n">
        <x:v>1</x:v>
      </x:c>
      <x:c r="I15" s="61" t="str">
        <x:v>une passe</x:v>
      </x:c>
      <x:c r="J15" s="61" t="str">
        <x:v>EXPÉRIMENTAL</x:v>
      </x:c>
      <x:c r="K15" s="61" t="str">
        <x:v>Moyenne</x:v>
      </x:c>
      <x:c r="L15" s="61" t="str">
        <x:v>Cosmétique/trajectoire à valider en jeu.</x:v>
      </x:c>
    </x:row>
    <x:row r="16">
      <x:c r="A16" s="55" t="str">
        <x:v>Fire</x:v>
      </x:c>
      <x:c r="B16" s="55" t="str">
        <x:v>Cadence d’émission</x:v>
      </x:c>
      <x:c r="C16" s="55" t="str">
        <x:v>0940B408h</x:v>
      </x:c>
      <x:c r="D16" s="55" t="str">
        <x:v>particules/update</x:v>
      </x:c>
      <x:c r="E16" s="67" t="n">
        <x:v>0.6666666666666666</x:v>
      </x:c>
      <x:c r="F16" s="61" t="str">
        <x:v>20 particules/s</x:v>
      </x:c>
      <x:c r="G16" s="61" t="str">
        <x:v>40 particules/s</x:v>
      </x:c>
      <x:c r="H16" s="78" t="n">
        <x:v>0.3333333333333333</x:v>
      </x:c>
      <x:c r="I16" s="61" t="str">
        <x:v>20 particules/s</x:v>
      </x:c>
      <x:c r="J16" s="61" t="str">
        <x:v>EXPÉRIMENTAL</x:v>
      </x:c>
      <x:c r="K16" s="61" t="str">
        <x:v>Élevée</x:v>
      </x:c>
      <x:c r="L16" s="61" t="str">
        <x:v>Cosmétique; le champ dégâts de zone n’est pas touché.</x:v>
      </x:c>
    </x:row>
    <x:row r="17">
      <x:c r="A17" s="55" t="str">
        <x:v>TorsoAShot</x:v>
      </x:c>
      <x:c r="B17" s="55" t="str">
        <x:v>Durée maximale</x:v>
      </x:c>
      <x:c r="C17" s="55" t="str">
        <x:v>09412AA4h</x:v>
      </x:c>
      <x:c r="D17" s="55" t="str">
        <x:v>secondes</x:v>
      </x:c>
      <x:c r="E17" s="67" t="n">
        <x:v>5</x:v>
      </x:c>
      <x:c r="F17" s="61" t="str">
        <x:v>5 s</x:v>
      </x:c>
      <x:c r="G17" s="61" t="str">
        <x:v>Reste proche de 5 s</x:v>
      </x:c>
      <x:c r="H17" s="78" t="n">
        <x:v>5</x:v>
      </x:c>
      <x:c r="I17" s="61" t="str">
        <x:v>Aucun patch</x:v>
      </x:c>
      <x:c r="J17" s="61" t="str">
        <x:v>AUCUN PATCH</x:v>
      </x:c>
      <x:c r="K17" s="61" t="str">
        <x:v>Élevée</x:v>
      </x:c>
      <x:c r="L17" s="61" t="str">
        <x:v>Le compteur observé est delta-based.</x:v>
      </x:c>
    </x:row>
    <x:row r="18">
      <x:c r="A18" s="56" t="str">
        <x:v>TMRobotTorsoB</x:v>
      </x:c>
      <x:c r="B18" s="56" t="str">
        <x:v>Update principal</x:v>
      </x:c>
      <x:c r="C18" s="56" t="str">
        <x:v>092BA670h</x:v>
      </x:c>
      <x:c r="D18" s="56" t="str">
        <x:v>delta-based</x:v>
      </x:c>
      <x:c r="E18" s="68" t="n">
        <x:v>0.03333333333333333</x:v>
      </x:c>
      <x:c r="F18" s="62" t="str">
        <x:v>delta général</x:v>
      </x:c>
      <x:c r="G18" s="62" t="str">
        <x:v>Corrigé par le socle</x:v>
      </x:c>
      <x:c r="H18" s="79" t="n">
        <x:v>0.016666666666666666</x:v>
      </x:c>
      <x:c r="I18" s="62" t="str">
        <x:v>Reste en temps réel</x:v>
      </x:c>
      <x:c r="J18" s="62" t="str">
        <x:v>SOCLE</x:v>
      </x:c>
      <x:c r="K18" s="62" t="str">
        <x:v>Moyenne</x:v>
      </x:c>
      <x:c r="L18" s="62" t="str">
        <x:v>Un compteur local à 0x092BA6A4 reste à confirmer.</x:v>
      </x:c>
    </x:row>
  </x:sheetData>
  <x:mergeCells>
    <x:mergeCell ref="A1:L1"/>
    <x:mergeCell ref="A2:L2"/>
  </x:mergeCells>
  <x:conditionalFormatting sqref="K6:K18">
    <x:cfRule type="containsText" dxfId="21" priority="1" operator="containsText" text="Élevée"/>
    <x:cfRule type="containsText" dxfId="22" priority="2" operator="containsText" text="Moyenne"/>
    <x:cfRule type="containsText" dxfId="23" priority="3" operator="containsText" text="Faible"/>
  </x:conditionalFormatting>
  <x:pageMargins left="0.7" right="0.7" top="0.75" bottom="0.75" header="0.3" footer="0.3"/>
  <x:tableParts count="1">
    <x:tablePart xmlns:r="http://schemas.openxmlformats.org/officeDocument/2006/relationships" r:id="R942da9d26d8e4d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" hidden="0" customWidth="1"/>
    <x:col min="3" max="3" width="15" hidden="0" customWidth="1"/>
    <x:col min="4" max="4" width="17" hidden="0" customWidth="1"/>
    <x:col min="5" max="5" width="9" hidden="0" customWidth="1"/>
    <x:col min="6" max="6" width="9" hidden="0" customWidth="1"/>
    <x:col min="7" max="7" width="17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4" hidden="0" customWidth="1"/>
    <x:col min="13" max="13" width="18" hidden="0" customWidth="1"/>
    <x:col min="14" max="14" width="31" hidden="0" customWidth="1"/>
  </x:cols>
  <x:sheetData>
    <x:row r="1" ht="32" customHeight="1">
      <x:c r="A1" s="3" t="str">
        <x:v>Table centrale de dégâts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259 records × 0x10 à 0x09404DCC; type 2 est divisé par deux par le moteur.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5" ht="30" customHeight="1">
      <x:c r="A5" s="47" t="str">
        <x:v>Index</x:v>
      </x:c>
      <x:c r="B5" s="48" t="str">
        <x:v>Type</x:v>
      </x:c>
      <x:c r="C5" s="48" t="str">
        <x:v>Dégâts bruts</x:v>
      </x:c>
      <x:c r="D5" s="48" t="str">
        <x:v>Dégâts effectifs</x:v>
      </x:c>
      <x:c r="E5" s="48" t="str">
        <x:v>Effet</x:v>
      </x:c>
      <x:c r="F5" s="48" t="str">
        <x:v>Flags</x:v>
      </x:c>
      <x:c r="G5" s="48" t="str">
        <x:v>Adresse runtime</x:v>
      </x:c>
      <x:c r="H5" s="48" t="str">
        <x:v>Hex type</x:v>
      </x:c>
      <x:c r="I5" s="48" t="str">
        <x:v>Hex dégâts</x:v>
      </x:c>
      <x:c r="J5" s="48" t="str">
        <x:v>Hex effet</x:v>
      </x:c>
      <x:c r="K5" s="48" t="str">
        <x:v>Hex flags</x:v>
      </x:c>
      <x:c r="L5" s="48" t="str">
        <x:v>Attribution(s)</x:v>
      </x:c>
      <x:c r="M5" s="48" t="str">
        <x:v>Confiance attribution</x:v>
      </x:c>
      <x:c r="N5" s="49" t="str">
        <x:v>Source</x:v>
      </x:c>
    </x:row>
    <x:row r="6">
      <x:c r="A6" s="63" t="n">
        <x:v>0</x:v>
      </x:c>
      <x:c r="B6" s="63" t="n">
        <x:v>0</x:v>
      </x:c>
      <x:c r="C6" s="66" t="n">
        <x:v>0</x:v>
      </x:c>
      <x:c r="D6" s="66" t="n">
        <x:f>IF(B6=2,C6/2,C6)</x:f>
        <x:v>0</x:v>
      </x:c>
      <x:c r="E6" s="63" t="n">
        <x:v>0</x:v>
      </x:c>
      <x:c r="F6" s="63" t="n">
        <x:v>1</x:v>
      </x:c>
      <x:c r="G6" s="54" t="str">
        <x:v>09404DCCh</x:v>
      </x:c>
      <x:c r="H6" s="54" t="str">
        <x:v>00000000h</x:v>
      </x:c>
      <x:c r="I6" s="54" t="str">
        <x:v>00000000h</x:v>
      </x:c>
      <x:c r="J6" s="54" t="str">
        <x:v>00000000h</x:v>
      </x:c>
      <x:c r="K6" s="54" t="str">
        <x:v>00000001h</x:v>
      </x:c>
      <x:c r="L6" s="60" t="str"/>
      <x:c r="M6" s="60" t="str">
        <x:v>Non résolu</x:v>
      </x:c>
      <x:c r="N6" s="60" t="str">
        <x:v>RAM2.dump / table statique LEVEL_01</x:v>
      </x:c>
    </x:row>
    <x:row r="7">
      <x:c r="A7" s="64" t="n">
        <x:v>1</x:v>
      </x:c>
      <x:c r="B7" s="64" t="n">
        <x:v>0</x:v>
      </x:c>
      <x:c r="C7" s="67" t="n">
        <x:v>2.5</x:v>
      </x:c>
      <x:c r="D7" s="67" t="n">
        <x:f>IF(B7=2,C7/2,C7)</x:f>
        <x:v>2.5</x:v>
      </x:c>
      <x:c r="E7" s="64" t="n">
        <x:v>5</x:v>
      </x:c>
      <x:c r="F7" s="64" t="n">
        <x:v>2</x:v>
      </x:c>
      <x:c r="G7" s="55" t="str">
        <x:v>09404DDCh</x:v>
      </x:c>
      <x:c r="H7" s="55" t="str">
        <x:v>00000000h</x:v>
      </x:c>
      <x:c r="I7" s="55" t="str">
        <x:v>40200000h</x:v>
      </x:c>
      <x:c r="J7" s="55" t="str">
        <x:v>00000005h</x:v>
      </x:c>
      <x:c r="K7" s="55" t="str">
        <x:v>00000002h</x:v>
      </x:c>
      <x:c r="L7" s="61" t="str">
        <x:v>Lacérator — Projectile principal</x:v>
      </x:c>
      <x:c r="M7" s="61" t="str">
        <x:v>Élevée</x:v>
      </x:c>
      <x:c r="N7" s="61" t="str">
        <x:v>RAM2.dump / table statique LEVEL_01</x:v>
      </x:c>
    </x:row>
    <x:row r="8">
      <x:c r="A8" s="64" t="n">
        <x:v>2</x:v>
      </x:c>
      <x:c r="B8" s="64" t="n">
        <x:v>0</x:v>
      </x:c>
      <x:c r="C8" s="67" t="n">
        <x:v>5</x:v>
      </x:c>
      <x:c r="D8" s="67" t="n">
        <x:f>IF(B8=2,C8/2,C8)</x:f>
        <x:v>5</x:v>
      </x:c>
      <x:c r="E8" s="64" t="n">
        <x:v>5</x:v>
      </x:c>
      <x:c r="F8" s="64" t="n">
        <x:v>2</x:v>
      </x:c>
      <x:c r="G8" s="55" t="str">
        <x:v>09404DECh</x:v>
      </x:c>
      <x:c r="H8" s="55" t="str">
        <x:v>00000000h</x:v>
      </x:c>
      <x:c r="I8" s="55" t="str">
        <x:v>40A00000h</x:v>
      </x:c>
      <x:c r="J8" s="55" t="str">
        <x:v>00000005h</x:v>
      </x:c>
      <x:c r="K8" s="55" t="str">
        <x:v>00000002h</x:v>
      </x:c>
      <x:c r="L8" s="61" t="str">
        <x:v>Lacérator — Projectile principal</x:v>
      </x:c>
      <x:c r="M8" s="61" t="str">
        <x:v>Élevée</x:v>
      </x:c>
      <x:c r="N8" s="61" t="str">
        <x:v>RAM2.dump / table statique LEVEL_01</x:v>
      </x:c>
    </x:row>
    <x:row r="9">
      <x:c r="A9" s="64" t="n">
        <x:v>3</x:v>
      </x:c>
      <x:c r="B9" s="64" t="n">
        <x:v>0</x:v>
      </x:c>
      <x:c r="C9" s="67" t="n">
        <x:v>10</x:v>
      </x:c>
      <x:c r="D9" s="67" t="n">
        <x:f>IF(B9=2,C9/2,C9)</x:f>
        <x:v>10</x:v>
      </x:c>
      <x:c r="E9" s="64" t="n">
        <x:v>5</x:v>
      </x:c>
      <x:c r="F9" s="64" t="n">
        <x:v>2</x:v>
      </x:c>
      <x:c r="G9" s="55" t="str">
        <x:v>09404DFCh</x:v>
      </x:c>
      <x:c r="H9" s="55" t="str">
        <x:v>00000000h</x:v>
      </x:c>
      <x:c r="I9" s="55" t="str">
        <x:v>41200000h</x:v>
      </x:c>
      <x:c r="J9" s="55" t="str">
        <x:v>00000005h</x:v>
      </x:c>
      <x:c r="K9" s="55" t="str">
        <x:v>00000002h</x:v>
      </x:c>
      <x:c r="L9" s="61" t="str">
        <x:v>Lacérator — Projectile principal</x:v>
      </x:c>
      <x:c r="M9" s="61" t="str">
        <x:v>Élevée</x:v>
      </x:c>
      <x:c r="N9" s="61" t="str">
        <x:v>RAM2.dump / table statique LEVEL_01</x:v>
      </x:c>
    </x:row>
    <x:row r="10">
      <x:c r="A10" s="64" t="n">
        <x:v>4</x:v>
      </x:c>
      <x:c r="B10" s="64" t="n">
        <x:v>0</x:v>
      </x:c>
      <x:c r="C10" s="67" t="n">
        <x:v>12</x:v>
      </x:c>
      <x:c r="D10" s="67" t="n">
        <x:f>IF(B10=2,C10/2,C10)</x:f>
        <x:v>12</x:v>
      </x:c>
      <x:c r="E10" s="64" t="n">
        <x:v>5</x:v>
      </x:c>
      <x:c r="F10" s="64" t="n">
        <x:v>2</x:v>
      </x:c>
      <x:c r="G10" s="55" t="str">
        <x:v>09404E0Ch</x:v>
      </x:c>
      <x:c r="H10" s="55" t="str">
        <x:v>00000000h</x:v>
      </x:c>
      <x:c r="I10" s="55" t="str">
        <x:v>41400000h</x:v>
      </x:c>
      <x:c r="J10" s="55" t="str">
        <x:v>00000005h</x:v>
      </x:c>
      <x:c r="K10" s="55" t="str">
        <x:v>00000002h</x:v>
      </x:c>
      <x:c r="L10" s="61" t="str">
        <x:v>Lacérator — Projectile principal</x:v>
      </x:c>
      <x:c r="M10" s="61" t="str">
        <x:v>Élevée</x:v>
      </x:c>
      <x:c r="N10" s="61" t="str">
        <x:v>RAM2.dump / table statique LEVEL_01</x:v>
      </x:c>
    </x:row>
    <x:row r="11">
      <x:c r="A11" s="64" t="n">
        <x:v>5</x:v>
      </x:c>
      <x:c r="B11" s="64" t="n">
        <x:v>0</x:v>
      </x:c>
      <x:c r="C11" s="67" t="n">
        <x:v>70</x:v>
      </x:c>
      <x:c r="D11" s="67" t="n">
        <x:f>IF(B11=2,C11/2,C11)</x:f>
        <x:v>70</x:v>
      </x:c>
      <x:c r="E11" s="64" t="n">
        <x:v>5</x:v>
      </x:c>
      <x:c r="F11" s="64" t="n">
        <x:v>2</x:v>
      </x:c>
      <x:c r="G11" s="55" t="str">
        <x:v>09404E1Ch</x:v>
      </x:c>
      <x:c r="H11" s="55" t="str">
        <x:v>00000000h</x:v>
      </x:c>
      <x:c r="I11" s="55" t="str">
        <x:v>428C0000h</x:v>
      </x:c>
      <x:c r="J11" s="55" t="str">
        <x:v>00000005h</x:v>
      </x:c>
      <x:c r="K11" s="55" t="str">
        <x:v>00000002h</x:v>
      </x:c>
      <x:c r="L11" s="61" t="str">
        <x:v>Lacérator — Projectile principal</x:v>
      </x:c>
      <x:c r="M11" s="61" t="str">
        <x:v>Élevée</x:v>
      </x:c>
      <x:c r="N11" s="61" t="str">
        <x:v>RAM2.dump / table statique LEVEL_01</x:v>
      </x:c>
    </x:row>
    <x:row r="12">
      <x:c r="A12" s="64" t="n">
        <x:v>6</x:v>
      </x:c>
      <x:c r="B12" s="64" t="n">
        <x:v>0</x:v>
      </x:c>
      <x:c r="C12" s="67" t="n">
        <x:v>92</x:v>
      </x:c>
      <x:c r="D12" s="67" t="n">
        <x:f>IF(B12=2,C12/2,C12)</x:f>
        <x:v>92</x:v>
      </x:c>
      <x:c r="E12" s="64" t="n">
        <x:v>5</x:v>
      </x:c>
      <x:c r="F12" s="64" t="n">
        <x:v>2</x:v>
      </x:c>
      <x:c r="G12" s="55" t="str">
        <x:v>09404E2Ch</x:v>
      </x:c>
      <x:c r="H12" s="55" t="str">
        <x:v>00000000h</x:v>
      </x:c>
      <x:c r="I12" s="55" t="str">
        <x:v>42B80000h</x:v>
      </x:c>
      <x:c r="J12" s="55" t="str">
        <x:v>00000005h</x:v>
      </x:c>
      <x:c r="K12" s="55" t="str">
        <x:v>00000002h</x:v>
      </x:c>
      <x:c r="L12" s="61" t="str">
        <x:v>Lacérator — Projectile principal</x:v>
      </x:c>
      <x:c r="M12" s="61" t="str">
        <x:v>Élevée</x:v>
      </x:c>
      <x:c r="N12" s="61" t="str">
        <x:v>RAM2.dump / table statique LEVEL_01</x:v>
      </x:c>
    </x:row>
    <x:row r="13">
      <x:c r="A13" s="64" t="n">
        <x:v>7</x:v>
      </x:c>
      <x:c r="B13" s="64" t="n">
        <x:v>0</x:v>
      </x:c>
      <x:c r="C13" s="67" t="n">
        <x:v>128</x:v>
      </x:c>
      <x:c r="D13" s="67" t="n">
        <x:f>IF(B13=2,C13/2,C13)</x:f>
        <x:v>128</x:v>
      </x:c>
      <x:c r="E13" s="64" t="n">
        <x:v>5</x:v>
      </x:c>
      <x:c r="F13" s="64" t="n">
        <x:v>2</x:v>
      </x:c>
      <x:c r="G13" s="55" t="str">
        <x:v>09404E3Ch</x:v>
      </x:c>
      <x:c r="H13" s="55" t="str">
        <x:v>00000000h</x:v>
      </x:c>
      <x:c r="I13" s="55" t="str">
        <x:v>43000000h</x:v>
      </x:c>
      <x:c r="J13" s="55" t="str">
        <x:v>00000005h</x:v>
      </x:c>
      <x:c r="K13" s="55" t="str">
        <x:v>00000002h</x:v>
      </x:c>
      <x:c r="L13" s="61" t="str">
        <x:v>Lacérator — Projectile principal</x:v>
      </x:c>
      <x:c r="M13" s="61" t="str">
        <x:v>Élevée</x:v>
      </x:c>
      <x:c r="N13" s="61" t="str">
        <x:v>RAM2.dump / table statique LEVEL_01</x:v>
      </x:c>
    </x:row>
    <x:row r="14">
      <x:c r="A14" s="64" t="n">
        <x:v>8</x:v>
      </x:c>
      <x:c r="B14" s="64" t="n">
        <x:v>0</x:v>
      </x:c>
      <x:c r="C14" s="67" t="n">
        <x:v>192</x:v>
      </x:c>
      <x:c r="D14" s="67" t="n">
        <x:f>IF(B14=2,C14/2,C14)</x:f>
        <x:v>192</x:v>
      </x:c>
      <x:c r="E14" s="64" t="n">
        <x:v>5</x:v>
      </x:c>
      <x:c r="F14" s="64" t="n">
        <x:v>2</x:v>
      </x:c>
      <x:c r="G14" s="55" t="str">
        <x:v>09404E4Ch</x:v>
      </x:c>
      <x:c r="H14" s="55" t="str">
        <x:v>00000000h</x:v>
      </x:c>
      <x:c r="I14" s="55" t="str">
        <x:v>43400000h</x:v>
      </x:c>
      <x:c r="J14" s="55" t="str">
        <x:v>00000005h</x:v>
      </x:c>
      <x:c r="K14" s="55" t="str">
        <x:v>00000002h</x:v>
      </x:c>
      <x:c r="L14" s="61" t="str">
        <x:v>Lacérator — Projectile principal</x:v>
      </x:c>
      <x:c r="M14" s="61" t="str">
        <x:v>Élevée</x:v>
      </x:c>
      <x:c r="N14" s="61" t="str">
        <x:v>RAM2.dump / table statique LEVEL_01</x:v>
      </x:c>
    </x:row>
    <x:row r="15">
      <x:c r="A15" s="64" t="n">
        <x:v>9</x:v>
      </x:c>
      <x:c r="B15" s="64" t="n">
        <x:v>1</x:v>
      </x:c>
      <x:c r="C15" s="67" t="n">
        <x:v>0.05000000447034836</x:v>
      </x:c>
      <x:c r="D15" s="67" t="n">
        <x:f>IF(B15=2,C15/2,C15)</x:f>
        <x:v>0.05000000447034836</x:v>
      </x:c>
      <x:c r="E15" s="64" t="n">
        <x:v>5</x:v>
      </x:c>
      <x:c r="F15" s="64" t="n">
        <x:v>0</x:v>
      </x:c>
      <x:c r="G15" s="55" t="str">
        <x:v>09404E5Ch</x:v>
      </x:c>
      <x:c r="H15" s="55" t="str">
        <x:v>00000001h</x:v>
      </x:c>
      <x:c r="I15" s="55" t="str">
        <x:v>3D4CCCCEh</x:v>
      </x:c>
      <x:c r="J15" s="55" t="str">
        <x:v>00000005h</x:v>
      </x:c>
      <x:c r="K15" s="55" t="str">
        <x:v>00000000h</x:v>
      </x:c>
      <x:c r="L15" s="61" t="str">
        <x:v>Tremblator — Onde principale</x:v>
      </x:c>
      <x:c r="M15" s="61" t="str">
        <x:v>Élevée</x:v>
      </x:c>
      <x:c r="N15" s="61" t="str">
        <x:v>RAM2.dump / table statique LEVEL_01</x:v>
      </x:c>
    </x:row>
    <x:row r="16">
      <x:c r="A16" s="64" t="n">
        <x:v>10</x:v>
      </x:c>
      <x:c r="B16" s="64" t="n">
        <x:v>1</x:v>
      </x:c>
      <x:c r="C16" s="67" t="n">
        <x:v>0.10000000894069672</x:v>
      </x:c>
      <x:c r="D16" s="67" t="n">
        <x:f>IF(B16=2,C16/2,C16)</x:f>
        <x:v>0.10000000894069672</x:v>
      </x:c>
      <x:c r="E16" s="64" t="n">
        <x:v>5</x:v>
      </x:c>
      <x:c r="F16" s="64" t="n">
        <x:v>0</x:v>
      </x:c>
      <x:c r="G16" s="55" t="str">
        <x:v>09404E6Ch</x:v>
      </x:c>
      <x:c r="H16" s="55" t="str">
        <x:v>00000001h</x:v>
      </x:c>
      <x:c r="I16" s="55" t="str">
        <x:v>3DCCCCCEh</x:v>
      </x:c>
      <x:c r="J16" s="55" t="str">
        <x:v>00000005h</x:v>
      </x:c>
      <x:c r="K16" s="55" t="str">
        <x:v>00000000h</x:v>
      </x:c>
      <x:c r="L16" s="61" t="str">
        <x:v>Tremblator — Onde principale</x:v>
      </x:c>
      <x:c r="M16" s="61" t="str">
        <x:v>Élevée</x:v>
      </x:c>
      <x:c r="N16" s="61" t="str">
        <x:v>RAM2.dump / table statique LEVEL_01</x:v>
      </x:c>
    </x:row>
    <x:row r="17">
      <x:c r="A17" s="64" t="n">
        <x:v>11</x:v>
      </x:c>
      <x:c r="B17" s="64" t="n">
        <x:v>1</x:v>
      </x:c>
      <x:c r="C17" s="67" t="n">
        <x:v>0.20000001788139343</x:v>
      </x:c>
      <x:c r="D17" s="67" t="n">
        <x:f>IF(B17=2,C17/2,C17)</x:f>
        <x:v>0.20000001788139343</x:v>
      </x:c>
      <x:c r="E17" s="64" t="n">
        <x:v>5</x:v>
      </x:c>
      <x:c r="F17" s="64" t="n">
        <x:v>0</x:v>
      </x:c>
      <x:c r="G17" s="55" t="str">
        <x:v>09404E7Ch</x:v>
      </x:c>
      <x:c r="H17" s="55" t="str">
        <x:v>00000001h</x:v>
      </x:c>
      <x:c r="I17" s="55" t="str">
        <x:v>3E4CCCCEh</x:v>
      </x:c>
      <x:c r="J17" s="55" t="str">
        <x:v>00000005h</x:v>
      </x:c>
      <x:c r="K17" s="55" t="str">
        <x:v>00000000h</x:v>
      </x:c>
      <x:c r="L17" s="61" t="str">
        <x:v>Tremblator — Onde principale</x:v>
      </x:c>
      <x:c r="M17" s="61" t="str">
        <x:v>Élevée</x:v>
      </x:c>
      <x:c r="N17" s="61" t="str">
        <x:v>RAM2.dump / table statique LEVEL_01</x:v>
      </x:c>
    </x:row>
    <x:row r="18">
      <x:c r="A18" s="64" t="n">
        <x:v>12</x:v>
      </x:c>
      <x:c r="B18" s="64" t="n">
        <x:v>1</x:v>
      </x:c>
      <x:c r="C18" s="67" t="n">
        <x:v>0.40000003576278687</x:v>
      </x:c>
      <x:c r="D18" s="67" t="n">
        <x:f>IF(B18=2,C18/2,C18)</x:f>
        <x:v>0.40000003576278687</x:v>
      </x:c>
      <x:c r="E18" s="64" t="n">
        <x:v>5</x:v>
      </x:c>
      <x:c r="F18" s="64" t="n">
        <x:v>0</x:v>
      </x:c>
      <x:c r="G18" s="55" t="str">
        <x:v>09404E8Ch</x:v>
      </x:c>
      <x:c r="H18" s="55" t="str">
        <x:v>00000001h</x:v>
      </x:c>
      <x:c r="I18" s="55" t="str">
        <x:v>3ECCCCCEh</x:v>
      </x:c>
      <x:c r="J18" s="55" t="str">
        <x:v>00000005h</x:v>
      </x:c>
      <x:c r="K18" s="55" t="str">
        <x:v>00000000h</x:v>
      </x:c>
      <x:c r="L18" s="61" t="str">
        <x:v>Tremblator — Onde principale</x:v>
      </x:c>
      <x:c r="M18" s="61" t="str">
        <x:v>Élevée</x:v>
      </x:c>
      <x:c r="N18" s="61" t="str">
        <x:v>RAM2.dump / table statique LEVEL_01</x:v>
      </x:c>
    </x:row>
    <x:row r="19">
      <x:c r="A19" s="64" t="n">
        <x:v>13</x:v>
      </x:c>
      <x:c r="B19" s="64" t="n">
        <x:v>1</x:v>
      </x:c>
      <x:c r="C19" s="67" t="n">
        <x:v>1.933333396911621</x:v>
      </x:c>
      <x:c r="D19" s="67" t="n">
        <x:f>IF(B19=2,C19/2,C19)</x:f>
        <x:v>1.933333396911621</x:v>
      </x:c>
      <x:c r="E19" s="64" t="n">
        <x:v>5</x:v>
      </x:c>
      <x:c r="F19" s="64" t="n">
        <x:v>0</x:v>
      </x:c>
      <x:c r="G19" s="55" t="str">
        <x:v>09404E9Ch</x:v>
      </x:c>
      <x:c r="H19" s="55" t="str">
        <x:v>00000001h</x:v>
      </x:c>
      <x:c r="I19" s="55" t="str">
        <x:v>3FF77778h</x:v>
      </x:c>
      <x:c r="J19" s="55" t="str">
        <x:v>00000005h</x:v>
      </x:c>
      <x:c r="K19" s="55" t="str">
        <x:v>00000000h</x:v>
      </x:c>
      <x:c r="L19" s="61" t="str">
        <x:v>Tremblator — Onde principale</x:v>
      </x:c>
      <x:c r="M19" s="61" t="str">
        <x:v>Élevée</x:v>
      </x:c>
      <x:c r="N19" s="61" t="str">
        <x:v>RAM2.dump / table statique LEVEL_01</x:v>
      </x:c>
    </x:row>
    <x:row r="20">
      <x:c r="A20" s="64" t="n">
        <x:v>14</x:v>
      </x:c>
      <x:c r="B20" s="64" t="n">
        <x:v>1</x:v>
      </x:c>
      <x:c r="C20" s="67" t="n">
        <x:v>2.7333335876464844</x:v>
      </x:c>
      <x:c r="D20" s="67" t="n">
        <x:f>IF(B20=2,C20/2,C20)</x:f>
        <x:v>2.7333335876464844</x:v>
      </x:c>
      <x:c r="E20" s="64" t="n">
        <x:v>5</x:v>
      </x:c>
      <x:c r="F20" s="64" t="n">
        <x:v>0</x:v>
      </x:c>
      <x:c r="G20" s="55" t="str">
        <x:v>09404EACh</x:v>
      </x:c>
      <x:c r="H20" s="55" t="str">
        <x:v>00000001h</x:v>
      </x:c>
      <x:c r="I20" s="55" t="str">
        <x:v>402EEEF0h</x:v>
      </x:c>
      <x:c r="J20" s="55" t="str">
        <x:v>00000005h</x:v>
      </x:c>
      <x:c r="K20" s="55" t="str">
        <x:v>00000000h</x:v>
      </x:c>
      <x:c r="L20" s="61" t="str">
        <x:v>Tremblator — Onde principale</x:v>
      </x:c>
      <x:c r="M20" s="61" t="str">
        <x:v>Élevée</x:v>
      </x:c>
      <x:c r="N20" s="61" t="str">
        <x:v>RAM2.dump / table statique LEVEL_01</x:v>
      </x:c>
    </x:row>
    <x:row r="21">
      <x:c r="A21" s="64" t="n">
        <x:v>15</x:v>
      </x:c>
      <x:c r="B21" s="64" t="n">
        <x:v>1</x:v>
      </x:c>
      <x:c r="C21" s="67" t="n">
        <x:v>4</x:v>
      </x:c>
      <x:c r="D21" s="67" t="n">
        <x:f>IF(B21=2,C21/2,C21)</x:f>
        <x:v>4</x:v>
      </x:c>
      <x:c r="E21" s="64" t="n">
        <x:v>5</x:v>
      </x:c>
      <x:c r="F21" s="64" t="n">
        <x:v>0</x:v>
      </x:c>
      <x:c r="G21" s="55" t="str">
        <x:v>09404EBCh</x:v>
      </x:c>
      <x:c r="H21" s="55" t="str">
        <x:v>00000001h</x:v>
      </x:c>
      <x:c r="I21" s="55" t="str">
        <x:v>40800000h</x:v>
      </x:c>
      <x:c r="J21" s="55" t="str">
        <x:v>00000005h</x:v>
      </x:c>
      <x:c r="K21" s="55" t="str">
        <x:v>00000000h</x:v>
      </x:c>
      <x:c r="L21" s="61" t="str">
        <x:v>Tremblator — Onde principale</x:v>
      </x:c>
      <x:c r="M21" s="61" t="str">
        <x:v>Élevée</x:v>
      </x:c>
      <x:c r="N21" s="61" t="str">
        <x:v>RAM2.dump / table statique LEVEL_01</x:v>
      </x:c>
    </x:row>
    <x:row r="22">
      <x:c r="A22" s="64" t="n">
        <x:v>16</x:v>
      </x:c>
      <x:c r="B22" s="64" t="n">
        <x:v>1</x:v>
      </x:c>
      <x:c r="C22" s="67" t="n">
        <x:v>6.40000057220459</x:v>
      </x:c>
      <x:c r="D22" s="67" t="n">
        <x:f>IF(B22=2,C22/2,C22)</x:f>
        <x:v>6.40000057220459</x:v>
      </x:c>
      <x:c r="E22" s="64" t="n">
        <x:v>5</x:v>
      </x:c>
      <x:c r="F22" s="64" t="n">
        <x:v>0</x:v>
      </x:c>
      <x:c r="G22" s="55" t="str">
        <x:v>09404ECCh</x:v>
      </x:c>
      <x:c r="H22" s="55" t="str">
        <x:v>00000001h</x:v>
      </x:c>
      <x:c r="I22" s="55" t="str">
        <x:v>40CCCCCEh</x:v>
      </x:c>
      <x:c r="J22" s="55" t="str">
        <x:v>00000005h</x:v>
      </x:c>
      <x:c r="K22" s="55" t="str">
        <x:v>00000000h</x:v>
      </x:c>
      <x:c r="L22" s="61" t="str">
        <x:v>Tremblator — Onde principale</x:v>
      </x:c>
      <x:c r="M22" s="61" t="str">
        <x:v>Élevée</x:v>
      </x:c>
      <x:c r="N22" s="61" t="str">
        <x:v>RAM2.dump / table statique LEVEL_01</x:v>
      </x:c>
    </x:row>
    <x:row r="23">
      <x:c r="A23" s="64" t="n">
        <x:v>17</x:v>
      </x:c>
      <x:c r="B23" s="64" t="n">
        <x:v>1</x:v>
      </x:c>
      <x:c r="C23" s="67" t="n">
        <x:v>0.5333333611488342</x:v>
      </x:c>
      <x:c r="D23" s="67" t="n">
        <x:f>IF(B23=2,C23/2,C23)</x:f>
        <x:v>0.5333333611488342</x:v>
      </x:c>
      <x:c r="E23" s="64" t="n">
        <x:v>0</x:v>
      </x:c>
      <x:c r="F23" s="64" t="n">
        <x:v>0</x:v>
      </x:c>
      <x:c r="G23" s="55" t="str">
        <x:v>09404EDCh</x:v>
      </x:c>
      <x:c r="H23" s="55" t="str">
        <x:v>00000001h</x:v>
      </x:c>
      <x:c r="I23" s="55" t="str">
        <x:v>3F088889h</x:v>
      </x:c>
      <x:c r="J23" s="55" t="str">
        <x:v>00000000h</x:v>
      </x:c>
      <x:c r="K23" s="55" t="str">
        <x:v>00000000h</x:v>
      </x:c>
      <x:c r="L23" s="61" t="str">
        <x:v>Tremblator — Impact secondaire / garde | Gant à Bombacide — Impact direct</x:v>
      </x:c>
      <x:c r="M23" s="61" t="str">
        <x:v>Élevée</x:v>
      </x:c>
      <x:c r="N23" s="61" t="str">
        <x:v>RAM2.dump / table statique LEVEL_01</x:v>
      </x:c>
    </x:row>
    <x:row r="24">
      <x:c r="A24" s="64" t="n">
        <x:v>18</x:v>
      </x:c>
      <x:c r="B24" s="64" t="n">
        <x:v>1</x:v>
      </x:c>
      <x:c r="C24" s="67" t="n">
        <x:v>0.5333333611488342</x:v>
      </x:c>
      <x:c r="D24" s="67" t="n">
        <x:f>IF(B24=2,C24/2,C24)</x:f>
        <x:v>0.5333333611488342</x:v>
      </x:c>
      <x:c r="E24" s="64" t="n">
        <x:v>0</x:v>
      </x:c>
      <x:c r="F24" s="64" t="n">
        <x:v>0</x:v>
      </x:c>
      <x:c r="G24" s="55" t="str">
        <x:v>09404EECh</x:v>
      </x:c>
      <x:c r="H24" s="55" t="str">
        <x:v>00000001h</x:v>
      </x:c>
      <x:c r="I24" s="55" t="str">
        <x:v>3F088889h</x:v>
      </x:c>
      <x:c r="J24" s="55" t="str">
        <x:v>00000000h</x:v>
      </x:c>
      <x:c r="K24" s="55" t="str">
        <x:v>00000000h</x:v>
      </x:c>
      <x:c r="L24" s="61" t="str">
        <x:v>Tremblator — Impact secondaire / garde</x:v>
      </x:c>
      <x:c r="M24" s="61" t="str">
        <x:v>Moyenne</x:v>
      </x:c>
      <x:c r="N24" s="61" t="str">
        <x:v>RAM2.dump / table statique LEVEL_01</x:v>
      </x:c>
    </x:row>
    <x:row r="25">
      <x:c r="A25" s="64" t="n">
        <x:v>19</x:v>
      </x:c>
      <x:c r="B25" s="64" t="n">
        <x:v>0</x:v>
      </x:c>
      <x:c r="C25" s="67" t="n">
        <x:v>0</x:v>
      </x:c>
      <x:c r="D25" s="67" t="n">
        <x:f>IF(B25=2,C25/2,C25)</x:f>
        <x:v>0</x:v>
      </x:c>
      <x:c r="E25" s="64" t="n">
        <x:v>6</x:v>
      </x:c>
      <x:c r="F25" s="64" t="n">
        <x:v>0</x:v>
      </x:c>
      <x:c r="G25" s="55" t="str">
        <x:v>09404EFCh</x:v>
      </x:c>
      <x:c r="H25" s="55" t="str">
        <x:v>00000000h</x:v>
      </x:c>
      <x:c r="I25" s="55" t="str">
        <x:v>00000000h</x:v>
      </x:c>
      <x:c r="J25" s="55" t="str">
        <x:v>00000006h</x:v>
      </x:c>
      <x:c r="K25" s="55" t="str">
        <x:v>00000000h</x:v>
      </x:c>
      <x:c r="L25" s="61" t="str">
        <x:v>Gant à Bombacide — Statut acide A/B</x:v>
      </x:c>
      <x:c r="M25" s="61" t="str">
        <x:v>Élevée</x:v>
      </x:c>
      <x:c r="N25" s="61" t="str">
        <x:v>RAM2.dump / table statique LEVEL_01</x:v>
      </x:c>
    </x:row>
    <x:row r="26">
      <x:c r="A26" s="64" t="n">
        <x:v>20</x:v>
      </x:c>
      <x:c r="B26" s="64" t="n">
        <x:v>0</x:v>
      </x:c>
      <x:c r="C26" s="67" t="n">
        <x:v>0</x:v>
      </x:c>
      <x:c r="D26" s="67" t="n">
        <x:f>IF(B26=2,C26/2,C26)</x:f>
        <x:v>0</x:v>
      </x:c>
      <x:c r="E26" s="64" t="n">
        <x:v>7</x:v>
      </x:c>
      <x:c r="F26" s="64" t="n">
        <x:v>0</x:v>
      </x:c>
      <x:c r="G26" s="55" t="str">
        <x:v>09404F0Ch</x:v>
      </x:c>
      <x:c r="H26" s="55" t="str">
        <x:v>00000000h</x:v>
      </x:c>
      <x:c r="I26" s="55" t="str">
        <x:v>00000000h</x:v>
      </x:c>
      <x:c r="J26" s="55" t="str">
        <x:v>00000007h</x:v>
      </x:c>
      <x:c r="K26" s="55" t="str">
        <x:v>00000000h</x:v>
      </x:c>
      <x:c r="L26" s="61" t="str">
        <x:v>Gant à Bombacide — Statut acide A/B</x:v>
      </x:c>
      <x:c r="M26" s="61" t="str">
        <x:v>Élevée</x:v>
      </x:c>
      <x:c r="N26" s="61" t="str">
        <x:v>RAM2.dump / table statique LEVEL_01</x:v>
      </x:c>
    </x:row>
    <x:row r="27">
      <x:c r="A27" s="64" t="n">
        <x:v>21</x:v>
      </x:c>
      <x:c r="B27" s="64" t="n">
        <x:v>0</x:v>
      </x:c>
      <x:c r="C27" s="67" t="n">
        <x:v>2</x:v>
      </x:c>
      <x:c r="D27" s="67" t="n">
        <x:f>IF(B27=2,C27/2,C27)</x:f>
        <x:v>2</x:v>
      </x:c>
      <x:c r="E27" s="64" t="n">
        <x:v>2</x:v>
      </x:c>
      <x:c r="F27" s="64" t="n">
        <x:v>1</x:v>
      </x:c>
      <x:c r="G27" s="55" t="str">
        <x:v>09404F1Ch</x:v>
      </x:c>
      <x:c r="H27" s="55" t="str">
        <x:v>00000000h</x:v>
      </x:c>
      <x:c r="I27" s="55" t="str">
        <x:v>40000000h</x:v>
      </x:c>
      <x:c r="J27" s="55" t="str">
        <x:v>00000002h</x:v>
      </x:c>
      <x:c r="K27" s="55" t="str">
        <x:v>00000001h</x:v>
      </x:c>
      <x:c r="L27" s="61" t="str">
        <x:v>Agents Ravageurs — Contacts auxiliaires</x:v>
      </x:c>
      <x:c r="M27" s="61" t="str">
        <x:v>Moyenne</x:v>
      </x:c>
      <x:c r="N27" s="61" t="str">
        <x:v>RAM2.dump / table statique LEVEL_01</x:v>
      </x:c>
    </x:row>
    <x:row r="28">
      <x:c r="A28" s="64" t="n">
        <x:v>22</x:v>
      </x:c>
      <x:c r="B28" s="64" t="n">
        <x:v>0</x:v>
      </x:c>
      <x:c r="C28" s="67" t="n">
        <x:v>2</x:v>
      </x:c>
      <x:c r="D28" s="67" t="n">
        <x:f>IF(B28=2,C28/2,C28)</x:f>
        <x:v>2</x:v>
      </x:c>
      <x:c r="E28" s="64" t="n">
        <x:v>2</x:v>
      </x:c>
      <x:c r="F28" s="64" t="n">
        <x:v>1</x:v>
      </x:c>
      <x:c r="G28" s="55" t="str">
        <x:v>09404F2Ch</x:v>
      </x:c>
      <x:c r="H28" s="55" t="str">
        <x:v>00000000h</x:v>
      </x:c>
      <x:c r="I28" s="55" t="str">
        <x:v>40000000h</x:v>
      </x:c>
      <x:c r="J28" s="55" t="str">
        <x:v>00000002h</x:v>
      </x:c>
      <x:c r="K28" s="55" t="str">
        <x:v>00000001h</x:v>
      </x:c>
      <x:c r="L28" s="61" t="str">
        <x:v>Agents Ravageurs — Contacts auxiliaires</x:v>
      </x:c>
      <x:c r="M28" s="61" t="str">
        <x:v>Moyenne</x:v>
      </x:c>
      <x:c r="N28" s="61" t="str">
        <x:v>RAM2.dump / table statique LEVEL_01</x:v>
      </x:c>
    </x:row>
    <x:row r="29">
      <x:c r="A29" s="64" t="n">
        <x:v>23</x:v>
      </x:c>
      <x:c r="B29" s="64" t="n">
        <x:v>0</x:v>
      </x:c>
      <x:c r="C29" s="67" t="n">
        <x:v>3.5</x:v>
      </x:c>
      <x:c r="D29" s="67" t="n">
        <x:f>IF(B29=2,C29/2,C29)</x:f>
        <x:v>3.5</x:v>
      </x:c>
      <x:c r="E29" s="64" t="n">
        <x:v>0</x:v>
      </x:c>
      <x:c r="F29" s="64" t="n">
        <x:v>1</x:v>
      </x:c>
      <x:c r="G29" s="55" t="str">
        <x:v>09404F3Ch</x:v>
      </x:c>
      <x:c r="H29" s="55" t="str">
        <x:v>00000000h</x:v>
      </x:c>
      <x:c r="I29" s="55" t="str">
        <x:v>40600000h</x:v>
      </x:c>
      <x:c r="J29" s="55" t="str">
        <x:v>00000000h</x:v>
      </x:c>
      <x:c r="K29" s="55" t="str">
        <x:v>00000001h</x:v>
      </x:c>
      <x:c r="L29" s="61" t="str">
        <x:v>Agents Ravageurs — Contacts auxiliaires</x:v>
      </x:c>
      <x:c r="M29" s="61" t="str">
        <x:v>Moyenne</x:v>
      </x:c>
      <x:c r="N29" s="61" t="str">
        <x:v>RAM2.dump / table statique LEVEL_01</x:v>
      </x:c>
    </x:row>
    <x:row r="30">
      <x:c r="A30" s="64" t="n">
        <x:v>24</x:v>
      </x:c>
      <x:c r="B30" s="64" t="n">
        <x:v>0</x:v>
      </x:c>
      <x:c r="C30" s="67" t="n">
        <x:v>5</x:v>
      </x:c>
      <x:c r="D30" s="67" t="n">
        <x:f>IF(B30=2,C30/2,C30)</x:f>
        <x:v>5</x:v>
      </x:c>
      <x:c r="E30" s="64" t="n">
        <x:v>0</x:v>
      </x:c>
      <x:c r="F30" s="64" t="n">
        <x:v>1</x:v>
      </x:c>
      <x:c r="G30" s="55" t="str">
        <x:v>09404F4Ch</x:v>
      </x:c>
      <x:c r="H30" s="55" t="str">
        <x:v>00000000h</x:v>
      </x:c>
      <x:c r="I30" s="55" t="str">
        <x:v>40A00000h</x:v>
      </x:c>
      <x:c r="J30" s="55" t="str">
        <x:v>00000000h</x:v>
      </x:c>
      <x:c r="K30" s="55" t="str">
        <x:v>00000001h</x:v>
      </x:c>
      <x:c r="L30" s="61" t="str">
        <x:v>Agents Ravageurs — Contacts auxiliaires</x:v>
      </x:c>
      <x:c r="M30" s="61" t="str">
        <x:v>Moyenne</x:v>
      </x:c>
      <x:c r="N30" s="61" t="str">
        <x:v>RAM2.dump / table statique LEVEL_01</x:v>
      </x:c>
    </x:row>
    <x:row r="31">
      <x:c r="A31" s="64" t="n">
        <x:v>25</x:v>
      </x:c>
      <x:c r="B31" s="64" t="n">
        <x:v>0</x:v>
      </x:c>
      <x:c r="C31" s="67" t="n">
        <x:v>1.5</x:v>
      </x:c>
      <x:c r="D31" s="67" t="n">
        <x:f>IF(B31=2,C31/2,C31)</x:f>
        <x:v>1.5</x:v>
      </x:c>
      <x:c r="E31" s="64" t="n">
        <x:v>0</x:v>
      </x:c>
      <x:c r="F31" s="64" t="n">
        <x:v>1</x:v>
      </x:c>
      <x:c r="G31" s="55" t="str">
        <x:v>09404F5Ch</x:v>
      </x:c>
      <x:c r="H31" s="55" t="str">
        <x:v>00000000h</x:v>
      </x:c>
      <x:c r="I31" s="55" t="str">
        <x:v>3FC00000h</x:v>
      </x:c>
      <x:c r="J31" s="55" t="str">
        <x:v>00000000h</x:v>
      </x:c>
      <x:c r="K31" s="55" t="str">
        <x:v>00000001h</x:v>
      </x:c>
      <x:c r="L31" s="61" t="str">
        <x:v>Agents Ravageurs — Laser d’agent</x:v>
      </x:c>
      <x:c r="M31" s="61" t="str">
        <x:v>Élevée</x:v>
      </x:c>
      <x:c r="N31" s="61" t="str">
        <x:v>RAM2.dump / table statique LEVEL_01</x:v>
      </x:c>
    </x:row>
    <x:row r="32">
      <x:c r="A32" s="64" t="n">
        <x:v>26</x:v>
      </x:c>
      <x:c r="B32" s="64" t="n">
        <x:v>0</x:v>
      </x:c>
      <x:c r="C32" s="67" t="n">
        <x:v>3</x:v>
      </x:c>
      <x:c r="D32" s="67" t="n">
        <x:f>IF(B32=2,C32/2,C32)</x:f>
        <x:v>3</x:v>
      </x:c>
      <x:c r="E32" s="64" t="n">
        <x:v>0</x:v>
      </x:c>
      <x:c r="F32" s="64" t="n">
        <x:v>1</x:v>
      </x:c>
      <x:c r="G32" s="55" t="str">
        <x:v>09404F6Ch</x:v>
      </x:c>
      <x:c r="H32" s="55" t="str">
        <x:v>00000000h</x:v>
      </x:c>
      <x:c r="I32" s="55" t="str">
        <x:v>40400000h</x:v>
      </x:c>
      <x:c r="J32" s="55" t="str">
        <x:v>00000000h</x:v>
      </x:c>
      <x:c r="K32" s="55" t="str">
        <x:v>00000001h</x:v>
      </x:c>
      <x:c r="L32" s="61" t="str">
        <x:v>Agents Ravageurs — Laser d’agent</x:v>
      </x:c>
      <x:c r="M32" s="61" t="str">
        <x:v>Élevée</x:v>
      </x:c>
      <x:c r="N32" s="61" t="str">
        <x:v>RAM2.dump / table statique LEVEL_01</x:v>
      </x:c>
    </x:row>
    <x:row r="33">
      <x:c r="A33" s="64" t="n">
        <x:v>27</x:v>
      </x:c>
      <x:c r="B33" s="64" t="n">
        <x:v>0</x:v>
      </x:c>
      <x:c r="C33" s="67" t="n">
        <x:v>10</x:v>
      </x:c>
      <x:c r="D33" s="67" t="n">
        <x:f>IF(B33=2,C33/2,C33)</x:f>
        <x:v>10</x:v>
      </x:c>
      <x:c r="E33" s="64" t="n">
        <x:v>0</x:v>
      </x:c>
      <x:c r="F33" s="64" t="n">
        <x:v>1</x:v>
      </x:c>
      <x:c r="G33" s="55" t="str">
        <x:v>09404F7Ch</x:v>
      </x:c>
      <x:c r="H33" s="55" t="str">
        <x:v>00000000h</x:v>
      </x:c>
      <x:c r="I33" s="55" t="str">
        <x:v>41200000h</x:v>
      </x:c>
      <x:c r="J33" s="55" t="str">
        <x:v>00000000h</x:v>
      </x:c>
      <x:c r="K33" s="55" t="str">
        <x:v>00000001h</x:v>
      </x:c>
      <x:c r="L33" s="61" t="str">
        <x:v>Agents Ravageurs — Laser d’agent</x:v>
      </x:c>
      <x:c r="M33" s="61" t="str">
        <x:v>Élevée</x:v>
      </x:c>
      <x:c r="N33" s="61" t="str">
        <x:v>RAM2.dump / table statique LEVEL_01</x:v>
      </x:c>
    </x:row>
    <x:row r="34">
      <x:c r="A34" s="64" t="n">
        <x:v>28</x:v>
      </x:c>
      <x:c r="B34" s="64" t="n">
        <x:v>0</x:v>
      </x:c>
      <x:c r="C34" s="67" t="n">
        <x:v>15</x:v>
      </x:c>
      <x:c r="D34" s="67" t="n">
        <x:f>IF(B34=2,C34/2,C34)</x:f>
        <x:v>15</x:v>
      </x:c>
      <x:c r="E34" s="64" t="n">
        <x:v>0</x:v>
      </x:c>
      <x:c r="F34" s="64" t="n">
        <x:v>1</x:v>
      </x:c>
      <x:c r="G34" s="55" t="str">
        <x:v>09404F8Ch</x:v>
      </x:c>
      <x:c r="H34" s="55" t="str">
        <x:v>00000000h</x:v>
      </x:c>
      <x:c r="I34" s="55" t="str">
        <x:v>41700000h</x:v>
      </x:c>
      <x:c r="J34" s="55" t="str">
        <x:v>00000000h</x:v>
      </x:c>
      <x:c r="K34" s="55" t="str">
        <x:v>00000001h</x:v>
      </x:c>
      <x:c r="L34" s="61" t="str">
        <x:v>Agents Ravageurs — Laser d’agent</x:v>
      </x:c>
      <x:c r="M34" s="61" t="str">
        <x:v>Élevée</x:v>
      </x:c>
      <x:c r="N34" s="61" t="str">
        <x:v>RAM2.dump / table statique LEVEL_01</x:v>
      </x:c>
    </x:row>
    <x:row r="35">
      <x:c r="A35" s="64" t="n">
        <x:v>29</x:v>
      </x:c>
      <x:c r="B35" s="64" t="n">
        <x:v>0</x:v>
      </x:c>
      <x:c r="C35" s="67" t="n">
        <x:v>28</x:v>
      </x:c>
      <x:c r="D35" s="67" t="n">
        <x:f>IF(B35=2,C35/2,C35)</x:f>
        <x:v>28</x:v>
      </x:c>
      <x:c r="E35" s="64" t="n">
        <x:v>0</x:v>
      </x:c>
      <x:c r="F35" s="64" t="n">
        <x:v>1</x:v>
      </x:c>
      <x:c r="G35" s="55" t="str">
        <x:v>09404F9Ch</x:v>
      </x:c>
      <x:c r="H35" s="55" t="str">
        <x:v>00000000h</x:v>
      </x:c>
      <x:c r="I35" s="55" t="str">
        <x:v>41E00000h</x:v>
      </x:c>
      <x:c r="J35" s="55" t="str">
        <x:v>00000000h</x:v>
      </x:c>
      <x:c r="K35" s="55" t="str">
        <x:v>00000001h</x:v>
      </x:c>
      <x:c r="L35" s="61" t="str">
        <x:v>Agents Ravageurs — Laser d’agent</x:v>
      </x:c>
      <x:c r="M35" s="61" t="str">
        <x:v>Élevée</x:v>
      </x:c>
      <x:c r="N35" s="61" t="str">
        <x:v>RAM2.dump / table statique LEVEL_01</x:v>
      </x:c>
    </x:row>
    <x:row r="36">
      <x:c r="A36" s="64" t="n">
        <x:v>30</x:v>
      </x:c>
      <x:c r="B36" s="64" t="n">
        <x:v>0</x:v>
      </x:c>
      <x:c r="C36" s="67" t="n">
        <x:v>50</x:v>
      </x:c>
      <x:c r="D36" s="67" t="n">
        <x:f>IF(B36=2,C36/2,C36)</x:f>
        <x:v>50</x:v>
      </x:c>
      <x:c r="E36" s="64" t="n">
        <x:v>0</x:v>
      </x:c>
      <x:c r="F36" s="64" t="n">
        <x:v>1</x:v>
      </x:c>
      <x:c r="G36" s="55" t="str">
        <x:v>09404FACh</x:v>
      </x:c>
      <x:c r="H36" s="55" t="str">
        <x:v>00000000h</x:v>
      </x:c>
      <x:c r="I36" s="55" t="str">
        <x:v>42480000h</x:v>
      </x:c>
      <x:c r="J36" s="55" t="str">
        <x:v>00000000h</x:v>
      </x:c>
      <x:c r="K36" s="55" t="str">
        <x:v>00000001h</x:v>
      </x:c>
      <x:c r="L36" s="61" t="str">
        <x:v>Agents Ravageurs — Laser d’agent</x:v>
      </x:c>
      <x:c r="M36" s="61" t="str">
        <x:v>Élevée</x:v>
      </x:c>
      <x:c r="N36" s="61" t="str">
        <x:v>RAM2.dump / table statique LEVEL_01</x:v>
      </x:c>
    </x:row>
    <x:row r="37">
      <x:c r="A37" s="64" t="n">
        <x:v>31</x:v>
      </x:c>
      <x:c r="B37" s="64" t="n">
        <x:v>0</x:v>
      </x:c>
      <x:c r="C37" s="67" t="n">
        <x:v>4.5</x:v>
      </x:c>
      <x:c r="D37" s="67" t="n">
        <x:f>IF(B37=2,C37/2,C37)</x:f>
        <x:v>4.5</x:v>
      </x:c>
      <x:c r="E37" s="64" t="n">
        <x:v>0</x:v>
      </x:c>
      <x:c r="F37" s="64" t="n">
        <x:v>1</x:v>
      </x:c>
      <x:c r="G37" s="55" t="str">
        <x:v>09404FBCh</x:v>
      </x:c>
      <x:c r="H37" s="55" t="str">
        <x:v>00000000h</x:v>
      </x:c>
      <x:c r="I37" s="55" t="str">
        <x:v>40900000h</x:v>
      </x:c>
      <x:c r="J37" s="55" t="str">
        <x:v>00000000h</x:v>
      </x:c>
      <x:c r="K37" s="55" t="str">
        <x:v>00000001h</x:v>
      </x:c>
      <x:c r="L37" s="61" t="str">
        <x:v>Agents Ravageurs — Roquette d’agent</x:v>
      </x:c>
      <x:c r="M37" s="61" t="str">
        <x:v>Élevée</x:v>
      </x:c>
      <x:c r="N37" s="61" t="str">
        <x:v>RAM2.dump / table statique LEVEL_01</x:v>
      </x:c>
    </x:row>
    <x:row r="38">
      <x:c r="A38" s="64" t="n">
        <x:v>32</x:v>
      </x:c>
      <x:c r="B38" s="64" t="n">
        <x:v>0</x:v>
      </x:c>
      <x:c r="C38" s="67" t="n">
        <x:v>7.5</x:v>
      </x:c>
      <x:c r="D38" s="67" t="n">
        <x:f>IF(B38=2,C38/2,C38)</x:f>
        <x:v>7.5</x:v>
      </x:c>
      <x:c r="E38" s="64" t="n">
        <x:v>0</x:v>
      </x:c>
      <x:c r="F38" s="64" t="n">
        <x:v>1</x:v>
      </x:c>
      <x:c r="G38" s="55" t="str">
        <x:v>09404FCCh</x:v>
      </x:c>
      <x:c r="H38" s="55" t="str">
        <x:v>00000000h</x:v>
      </x:c>
      <x:c r="I38" s="55" t="str">
        <x:v>40F00000h</x:v>
      </x:c>
      <x:c r="J38" s="55" t="str">
        <x:v>00000000h</x:v>
      </x:c>
      <x:c r="K38" s="55" t="str">
        <x:v>00000001h</x:v>
      </x:c>
      <x:c r="L38" s="61" t="str">
        <x:v>Agents Ravageurs — Roquette d’agent</x:v>
      </x:c>
      <x:c r="M38" s="61" t="str">
        <x:v>Élevée</x:v>
      </x:c>
      <x:c r="N38" s="61" t="str">
        <x:v>RAM2.dump / table statique LEVEL_01</x:v>
      </x:c>
    </x:row>
    <x:row r="39">
      <x:c r="A39" s="64" t="n">
        <x:v>33</x:v>
      </x:c>
      <x:c r="B39" s="64" t="n">
        <x:v>0</x:v>
      </x:c>
      <x:c r="C39" s="67" t="n">
        <x:v>11.5</x:v>
      </x:c>
      <x:c r="D39" s="67" t="n">
        <x:f>IF(B39=2,C39/2,C39)</x:f>
        <x:v>11.5</x:v>
      </x:c>
      <x:c r="E39" s="64" t="n">
        <x:v>0</x:v>
      </x:c>
      <x:c r="F39" s="64" t="n">
        <x:v>1</x:v>
      </x:c>
      <x:c r="G39" s="55" t="str">
        <x:v>09404FDCh</x:v>
      </x:c>
      <x:c r="H39" s="55" t="str">
        <x:v>00000000h</x:v>
      </x:c>
      <x:c r="I39" s="55" t="str">
        <x:v>41380000h</x:v>
      </x:c>
      <x:c r="J39" s="55" t="str">
        <x:v>00000000h</x:v>
      </x:c>
      <x:c r="K39" s="55" t="str">
        <x:v>00000001h</x:v>
      </x:c>
      <x:c r="L39" s="61" t="str">
        <x:v>Agents Ravageurs — Roquette d’agent</x:v>
      </x:c>
      <x:c r="M39" s="61" t="str">
        <x:v>Élevée</x:v>
      </x:c>
      <x:c r="N39" s="61" t="str">
        <x:v>RAM2.dump / table statique LEVEL_01</x:v>
      </x:c>
    </x:row>
    <x:row r="40">
      <x:c r="A40" s="64" t="n">
        <x:v>34</x:v>
      </x:c>
      <x:c r="B40" s="64" t="n">
        <x:v>0</x:v>
      </x:c>
      <x:c r="C40" s="67" t="n">
        <x:v>21</x:v>
      </x:c>
      <x:c r="D40" s="67" t="n">
        <x:f>IF(B40=2,C40/2,C40)</x:f>
        <x:v>21</x:v>
      </x:c>
      <x:c r="E40" s="64" t="n">
        <x:v>0</x:v>
      </x:c>
      <x:c r="F40" s="64" t="n">
        <x:v>1</x:v>
      </x:c>
      <x:c r="G40" s="55" t="str">
        <x:v>09404FECh</x:v>
      </x:c>
      <x:c r="H40" s="55" t="str">
        <x:v>00000000h</x:v>
      </x:c>
      <x:c r="I40" s="55" t="str">
        <x:v>41A80000h</x:v>
      </x:c>
      <x:c r="J40" s="55" t="str">
        <x:v>00000000h</x:v>
      </x:c>
      <x:c r="K40" s="55" t="str">
        <x:v>00000001h</x:v>
      </x:c>
      <x:c r="L40" s="61" t="str">
        <x:v>Agents Ravageurs — Roquette d’agent</x:v>
      </x:c>
      <x:c r="M40" s="61" t="str">
        <x:v>Élevée</x:v>
      </x:c>
      <x:c r="N40" s="61" t="str">
        <x:v>RAM2.dump / table statique LEVEL_01</x:v>
      </x:c>
    </x:row>
    <x:row r="41">
      <x:c r="A41" s="64" t="n">
        <x:v>35</x:v>
      </x:c>
      <x:c r="B41" s="64" t="n">
        <x:v>0</x:v>
      </x:c>
      <x:c r="C41" s="67" t="n">
        <x:v>37.5</x:v>
      </x:c>
      <x:c r="D41" s="67" t="n">
        <x:f>IF(B41=2,C41/2,C41)</x:f>
        <x:v>37.5</x:v>
      </x:c>
      <x:c r="E41" s="64" t="n">
        <x:v>0</x:v>
      </x:c>
      <x:c r="F41" s="64" t="n">
        <x:v>1</x:v>
      </x:c>
      <x:c r="G41" s="55" t="str">
        <x:v>09404FFCh</x:v>
      </x:c>
      <x:c r="H41" s="55" t="str">
        <x:v>00000000h</x:v>
      </x:c>
      <x:c r="I41" s="55" t="str">
        <x:v>42160000h</x:v>
      </x:c>
      <x:c r="J41" s="55" t="str">
        <x:v>00000000h</x:v>
      </x:c>
      <x:c r="K41" s="55" t="str">
        <x:v>00000001h</x:v>
      </x:c>
      <x:c r="L41" s="61" t="str">
        <x:v>Agents Ravageurs — Roquette d’agent</x:v>
      </x:c>
      <x:c r="M41" s="61" t="str">
        <x:v>Élevée</x:v>
      </x:c>
      <x:c r="N41" s="61" t="str">
        <x:v>RAM2.dump / table statique LEVEL_01</x:v>
      </x:c>
    </x:row>
    <x:row r="42">
      <x:c r="A42" s="64" t="n">
        <x:v>36</x:v>
      </x:c>
      <x:c r="B42" s="64" t="n">
        <x:v>0</x:v>
      </x:c>
      <x:c r="C42" s="67" t="n">
        <x:v>12</x:v>
      </x:c>
      <x:c r="D42" s="67" t="n">
        <x:f>IF(B42=2,C42/2,C42)</x:f>
        <x:v>12</x:v>
      </x:c>
      <x:c r="E42" s="64" t="n">
        <x:v>0</x:v>
      </x:c>
      <x:c r="F42" s="64" t="n">
        <x:v>2</x:v>
      </x:c>
      <x:c r="G42" s="55" t="str">
        <x:v>0940500Ch</x:v>
      </x:c>
      <x:c r="H42" s="55" t="str">
        <x:v>00000000h</x:v>
      </x:c>
      <x:c r="I42" s="55" t="str">
        <x:v>41400000h</x:v>
      </x:c>
      <x:c r="J42" s="55" t="str">
        <x:v>00000000h</x:v>
      </x:c>
      <x:c r="K42" s="55" t="str">
        <x:v>00000002h</x:v>
      </x:c>
      <x:c r="L42" s="61" t="str">
        <x:v>Agents Ravageurs — Corps / attaque principale d’agent</x:v>
      </x:c>
      <x:c r="M42" s="61" t="str">
        <x:v>Élevée</x:v>
      </x:c>
      <x:c r="N42" s="61" t="str">
        <x:v>RAM2.dump / table statique LEVEL_01</x:v>
      </x:c>
    </x:row>
    <x:row r="43">
      <x:c r="A43" s="64" t="n">
        <x:v>37</x:v>
      </x:c>
      <x:c r="B43" s="64" t="n">
        <x:v>0</x:v>
      </x:c>
      <x:c r="C43" s="67" t="n">
        <x:v>96</x:v>
      </x:c>
      <x:c r="D43" s="67" t="n">
        <x:f>IF(B43=2,C43/2,C43)</x:f>
        <x:v>96</x:v>
      </x:c>
      <x:c r="E43" s="64" t="n">
        <x:v>0</x:v>
      </x:c>
      <x:c r="F43" s="64" t="n">
        <x:v>2</x:v>
      </x:c>
      <x:c r="G43" s="55" t="str">
        <x:v>0940501Ch</x:v>
      </x:c>
      <x:c r="H43" s="55" t="str">
        <x:v>00000000h</x:v>
      </x:c>
      <x:c r="I43" s="55" t="str">
        <x:v>42C00000h</x:v>
      </x:c>
      <x:c r="J43" s="55" t="str">
        <x:v>00000000h</x:v>
      </x:c>
      <x:c r="K43" s="55" t="str">
        <x:v>00000002h</x:v>
      </x:c>
      <x:c r="L43" s="61" t="str">
        <x:v>Agents Ravageurs — Corps / attaque principale d’agent</x:v>
      </x:c>
      <x:c r="M43" s="61" t="str">
        <x:v>Élevée</x:v>
      </x:c>
      <x:c r="N43" s="61" t="str">
        <x:v>RAM2.dump / table statique LEVEL_01</x:v>
      </x:c>
    </x:row>
    <x:row r="44">
      <x:c r="A44" s="64" t="n">
        <x:v>38</x:v>
      </x:c>
      <x:c r="B44" s="64" t="n">
        <x:v>0</x:v>
      </x:c>
      <x:c r="C44" s="67" t="n">
        <x:v>136</x:v>
      </x:c>
      <x:c r="D44" s="67" t="n">
        <x:f>IF(B44=2,C44/2,C44)</x:f>
        <x:v>136</x:v>
      </x:c>
      <x:c r="E44" s="64" t="n">
        <x:v>0</x:v>
      </x:c>
      <x:c r="F44" s="64" t="n">
        <x:v>2</x:v>
      </x:c>
      <x:c r="G44" s="55" t="str">
        <x:v>0940502Ch</x:v>
      </x:c>
      <x:c r="H44" s="55" t="str">
        <x:v>00000000h</x:v>
      </x:c>
      <x:c r="I44" s="55" t="str">
        <x:v>43080000h</x:v>
      </x:c>
      <x:c r="J44" s="55" t="str">
        <x:v>00000000h</x:v>
      </x:c>
      <x:c r="K44" s="55" t="str">
        <x:v>00000002h</x:v>
      </x:c>
      <x:c r="L44" s="61" t="str">
        <x:v>Agents Ravageurs — Corps / attaque principale d’agent</x:v>
      </x:c>
      <x:c r="M44" s="61" t="str">
        <x:v>Élevée</x:v>
      </x:c>
      <x:c r="N44" s="61" t="str">
        <x:v>RAM2.dump / table statique LEVEL_01</x:v>
      </x:c>
    </x:row>
    <x:row r="45">
      <x:c r="A45" s="64" t="n">
        <x:v>39</x:v>
      </x:c>
      <x:c r="B45" s="64" t="n">
        <x:v>0</x:v>
      </x:c>
      <x:c r="C45" s="67" t="n">
        <x:v>232</x:v>
      </x:c>
      <x:c r="D45" s="67" t="n">
        <x:f>IF(B45=2,C45/2,C45)</x:f>
        <x:v>232</x:v>
      </x:c>
      <x:c r="E45" s="64" t="n">
        <x:v>0</x:v>
      </x:c>
      <x:c r="F45" s="64" t="n">
        <x:v>2</x:v>
      </x:c>
      <x:c r="G45" s="55" t="str">
        <x:v>0940503Ch</x:v>
      </x:c>
      <x:c r="H45" s="55" t="str">
        <x:v>00000000h</x:v>
      </x:c>
      <x:c r="I45" s="55" t="str">
        <x:v>43680000h</x:v>
      </x:c>
      <x:c r="J45" s="55" t="str">
        <x:v>00000000h</x:v>
      </x:c>
      <x:c r="K45" s="55" t="str">
        <x:v>00000002h</x:v>
      </x:c>
      <x:c r="L45" s="61" t="str">
        <x:v>Agents Ravageurs — Corps / attaque principale d’agent</x:v>
      </x:c>
      <x:c r="M45" s="61" t="str">
        <x:v>Élevée</x:v>
      </x:c>
      <x:c r="N45" s="61" t="str">
        <x:v>RAM2.dump / table statique LEVEL_01</x:v>
      </x:c>
    </x:row>
    <x:row r="46">
      <x:c r="A46" s="64" t="n">
        <x:v>40</x:v>
      </x:c>
      <x:c r="B46" s="64" t="n">
        <x:v>0</x:v>
      </x:c>
      <x:c r="C46" s="67" t="n">
        <x:v>398</x:v>
      </x:c>
      <x:c r="D46" s="67" t="n">
        <x:f>IF(B46=2,C46/2,C46)</x:f>
        <x:v>398</x:v>
      </x:c>
      <x:c r="E46" s="64" t="n">
        <x:v>0</x:v>
      </x:c>
      <x:c r="F46" s="64" t="n">
        <x:v>2</x:v>
      </x:c>
      <x:c r="G46" s="55" t="str">
        <x:v>0940504Ch</x:v>
      </x:c>
      <x:c r="H46" s="55" t="str">
        <x:v>00000000h</x:v>
      </x:c>
      <x:c r="I46" s="55" t="str">
        <x:v>43C70000h</x:v>
      </x:c>
      <x:c r="J46" s="55" t="str">
        <x:v>00000000h</x:v>
      </x:c>
      <x:c r="K46" s="55" t="str">
        <x:v>00000002h</x:v>
      </x:c>
      <x:c r="L46" s="61" t="str">
        <x:v>Agents Ravageurs — Corps / attaque principale d’agent</x:v>
      </x:c>
      <x:c r="M46" s="61" t="str">
        <x:v>Élevée</x:v>
      </x:c>
      <x:c r="N46" s="61" t="str">
        <x:v>RAM2.dump / table statique LEVEL_01</x:v>
      </x:c>
    </x:row>
    <x:row r="47">
      <x:c r="A47" s="64" t="n">
        <x:v>41</x:v>
      </x:c>
      <x:c r="B47" s="64" t="n">
        <x:v>0</x:v>
      </x:c>
      <x:c r="C47" s="67" t="n">
        <x:v>1</x:v>
      </x:c>
      <x:c r="D47" s="67" t="n">
        <x:f>IF(B47=2,C47/2,C47)</x:f>
        <x:v>1</x:v>
      </x:c>
      <x:c r="E47" s="64" t="n">
        <x:v>1</x:v>
      </x:c>
      <x:c r="F47" s="64" t="n">
        <x:v>1</x:v>
      </x:c>
      <x:c r="G47" s="55" t="str">
        <x:v>0940505Ch</x:v>
      </x:c>
      <x:c r="H47" s="55" t="str">
        <x:v>00000000h</x:v>
      </x:c>
      <x:c r="I47" s="55" t="str">
        <x:v>3F800000h</x:v>
      </x:c>
      <x:c r="J47" s="55" t="str">
        <x:v>00000001h</x:v>
      </x:c>
      <x:c r="K47" s="55" t="str">
        <x:v>00000001h</x:v>
      </x:c>
      <x:c r="L47" s="61" t="str">
        <x:v>Gant Mine Abeille — Mine/abeille – groupe A</x:v>
      </x:c>
      <x:c r="M47" s="61" t="str">
        <x:v>Moyenne</x:v>
      </x:c>
      <x:c r="N47" s="61" t="str">
        <x:v>RAM2.dump / table statique LEVEL_01</x:v>
      </x:c>
    </x:row>
    <x:row r="48">
      <x:c r="A48" s="64" t="n">
        <x:v>42</x:v>
      </x:c>
      <x:c r="B48" s="64" t="n">
        <x:v>0</x:v>
      </x:c>
      <x:c r="C48" s="67" t="n">
        <x:v>3</x:v>
      </x:c>
      <x:c r="D48" s="67" t="n">
        <x:f>IF(B48=2,C48/2,C48)</x:f>
        <x:v>3</x:v>
      </x:c>
      <x:c r="E48" s="64" t="n">
        <x:v>1</x:v>
      </x:c>
      <x:c r="F48" s="64" t="n">
        <x:v>1</x:v>
      </x:c>
      <x:c r="G48" s="55" t="str">
        <x:v>0940506Ch</x:v>
      </x:c>
      <x:c r="H48" s="55" t="str">
        <x:v>00000000h</x:v>
      </x:c>
      <x:c r="I48" s="55" t="str">
        <x:v>40400000h</x:v>
      </x:c>
      <x:c r="J48" s="55" t="str">
        <x:v>00000001h</x:v>
      </x:c>
      <x:c r="K48" s="55" t="str">
        <x:v>00000001h</x:v>
      </x:c>
      <x:c r="L48" s="61" t="str">
        <x:v>Gant Mine Abeille — Mine/abeille – groupe A</x:v>
      </x:c>
      <x:c r="M48" s="61" t="str">
        <x:v>Moyenne</x:v>
      </x:c>
      <x:c r="N48" s="61" t="str">
        <x:v>RAM2.dump / table statique LEVEL_01</x:v>
      </x:c>
    </x:row>
    <x:row r="49">
      <x:c r="A49" s="64" t="n">
        <x:v>43</x:v>
      </x:c>
      <x:c r="B49" s="64" t="n">
        <x:v>0</x:v>
      </x:c>
      <x:c r="C49" s="67" t="n">
        <x:v>5</x:v>
      </x:c>
      <x:c r="D49" s="67" t="n">
        <x:f>IF(B49=2,C49/2,C49)</x:f>
        <x:v>5</x:v>
      </x:c>
      <x:c r="E49" s="64" t="n">
        <x:v>1</x:v>
      </x:c>
      <x:c r="F49" s="64" t="n">
        <x:v>1</x:v>
      </x:c>
      <x:c r="G49" s="55" t="str">
        <x:v>0940507Ch</x:v>
      </x:c>
      <x:c r="H49" s="55" t="str">
        <x:v>00000000h</x:v>
      </x:c>
      <x:c r="I49" s="55" t="str">
        <x:v>40A00000h</x:v>
      </x:c>
      <x:c r="J49" s="55" t="str">
        <x:v>00000001h</x:v>
      </x:c>
      <x:c r="K49" s="55" t="str">
        <x:v>00000001h</x:v>
      </x:c>
      <x:c r="L49" s="61" t="str">
        <x:v>Gant Mine Abeille — Mine/abeille – groupe A</x:v>
      </x:c>
      <x:c r="M49" s="61" t="str">
        <x:v>Moyenne</x:v>
      </x:c>
      <x:c r="N49" s="61" t="str">
        <x:v>RAM2.dump / table statique LEVEL_01</x:v>
      </x:c>
    </x:row>
    <x:row r="50">
      <x:c r="A50" s="64" t="n">
        <x:v>44</x:v>
      </x:c>
      <x:c r="B50" s="64" t="n">
        <x:v>0</x:v>
      </x:c>
      <x:c r="C50" s="67" t="n">
        <x:v>4</x:v>
      </x:c>
      <x:c r="D50" s="67" t="n">
        <x:f>IF(B50=2,C50/2,C50)</x:f>
        <x:v>4</x:v>
      </x:c>
      <x:c r="E50" s="64" t="n">
        <x:v>1</x:v>
      </x:c>
      <x:c r="F50" s="64" t="n">
        <x:v>1</x:v>
      </x:c>
      <x:c r="G50" s="55" t="str">
        <x:v>0940508Ch</x:v>
      </x:c>
      <x:c r="H50" s="55" t="str">
        <x:v>00000000h</x:v>
      </x:c>
      <x:c r="I50" s="55" t="str">
        <x:v>40800000h</x:v>
      </x:c>
      <x:c r="J50" s="55" t="str">
        <x:v>00000001h</x:v>
      </x:c>
      <x:c r="K50" s="55" t="str">
        <x:v>00000001h</x:v>
      </x:c>
      <x:c r="L50" s="61" t="str">
        <x:v>Gant Mine Abeille — Mine/abeille – groupe A</x:v>
      </x:c>
      <x:c r="M50" s="61" t="str">
        <x:v>Moyenne</x:v>
      </x:c>
      <x:c r="N50" s="61" t="str">
        <x:v>RAM2.dump / table statique LEVEL_01</x:v>
      </x:c>
    </x:row>
    <x:row r="51">
      <x:c r="A51" s="64" t="n">
        <x:v>45</x:v>
      </x:c>
      <x:c r="B51" s="64" t="n">
        <x:v>0</x:v>
      </x:c>
      <x:c r="C51" s="67" t="n">
        <x:v>13</x:v>
      </x:c>
      <x:c r="D51" s="67" t="n">
        <x:f>IF(B51=2,C51/2,C51)</x:f>
        <x:v>13</x:v>
      </x:c>
      <x:c r="E51" s="64" t="n">
        <x:v>1</x:v>
      </x:c>
      <x:c r="F51" s="64" t="n">
        <x:v>1</x:v>
      </x:c>
      <x:c r="G51" s="55" t="str">
        <x:v>0940509Ch</x:v>
      </x:c>
      <x:c r="H51" s="55" t="str">
        <x:v>00000000h</x:v>
      </x:c>
      <x:c r="I51" s="55" t="str">
        <x:v>41500000h</x:v>
      </x:c>
      <x:c r="J51" s="55" t="str">
        <x:v>00000001h</x:v>
      </x:c>
      <x:c r="K51" s="55" t="str">
        <x:v>00000001h</x:v>
      </x:c>
      <x:c r="L51" s="61" t="str">
        <x:v>Gant Mine Abeille — Mine/abeille – groupe A</x:v>
      </x:c>
      <x:c r="M51" s="61" t="str">
        <x:v>Moyenne</x:v>
      </x:c>
      <x:c r="N51" s="61" t="str">
        <x:v>RAM2.dump / table statique LEVEL_01</x:v>
      </x:c>
    </x:row>
    <x:row r="52">
      <x:c r="A52" s="64" t="n">
        <x:v>46</x:v>
      </x:c>
      <x:c r="B52" s="64" t="n">
        <x:v>0</x:v>
      </x:c>
      <x:c r="C52" s="67" t="n">
        <x:v>18.5</x:v>
      </x:c>
      <x:c r="D52" s="67" t="n">
        <x:f>IF(B52=2,C52/2,C52)</x:f>
        <x:v>18.5</x:v>
      </x:c>
      <x:c r="E52" s="64" t="n">
        <x:v>1</x:v>
      </x:c>
      <x:c r="F52" s="64" t="n">
        <x:v>1</x:v>
      </x:c>
      <x:c r="G52" s="55" t="str">
        <x:v>094050ACh</x:v>
      </x:c>
      <x:c r="H52" s="55" t="str">
        <x:v>00000000h</x:v>
      </x:c>
      <x:c r="I52" s="55" t="str">
        <x:v>41940000h</x:v>
      </x:c>
      <x:c r="J52" s="55" t="str">
        <x:v>00000001h</x:v>
      </x:c>
      <x:c r="K52" s="55" t="str">
        <x:v>00000001h</x:v>
      </x:c>
      <x:c r="L52" s="61" t="str">
        <x:v>Gant Mine Abeille — Mine/abeille – groupe A</x:v>
      </x:c>
      <x:c r="M52" s="61" t="str">
        <x:v>Moyenne</x:v>
      </x:c>
      <x:c r="N52" s="61" t="str">
        <x:v>RAM2.dump / table statique LEVEL_01</x:v>
      </x:c>
    </x:row>
    <x:row r="53">
      <x:c r="A53" s="64" t="n">
        <x:v>47</x:v>
      </x:c>
      <x:c r="B53" s="64" t="n">
        <x:v>0</x:v>
      </x:c>
      <x:c r="C53" s="67" t="n">
        <x:v>26.5</x:v>
      </x:c>
      <x:c r="D53" s="67" t="n">
        <x:f>IF(B53=2,C53/2,C53)</x:f>
        <x:v>26.5</x:v>
      </x:c>
      <x:c r="E53" s="64" t="n">
        <x:v>1</x:v>
      </x:c>
      <x:c r="F53" s="64" t="n">
        <x:v>1</x:v>
      </x:c>
      <x:c r="G53" s="55" t="str">
        <x:v>094050BCh</x:v>
      </x:c>
      <x:c r="H53" s="55" t="str">
        <x:v>00000000h</x:v>
      </x:c>
      <x:c r="I53" s="55" t="str">
        <x:v>41D40000h</x:v>
      </x:c>
      <x:c r="J53" s="55" t="str">
        <x:v>00000001h</x:v>
      </x:c>
      <x:c r="K53" s="55" t="str">
        <x:v>00000001h</x:v>
      </x:c>
      <x:c r="L53" s="61" t="str">
        <x:v>Gant Mine Abeille — Mine/abeille – groupe A</x:v>
      </x:c>
      <x:c r="M53" s="61" t="str">
        <x:v>Moyenne</x:v>
      </x:c>
      <x:c r="N53" s="61" t="str">
        <x:v>RAM2.dump / table statique LEVEL_01</x:v>
      </x:c>
    </x:row>
    <x:row r="54">
      <x:c r="A54" s="64" t="n">
        <x:v>48</x:v>
      </x:c>
      <x:c r="B54" s="64" t="n">
        <x:v>0</x:v>
      </x:c>
      <x:c r="C54" s="67" t="n">
        <x:v>44</x:v>
      </x:c>
      <x:c r="D54" s="67" t="n">
        <x:f>IF(B54=2,C54/2,C54)</x:f>
        <x:v>44</x:v>
      </x:c>
      <x:c r="E54" s="64" t="n">
        <x:v>1</x:v>
      </x:c>
      <x:c r="F54" s="64" t="n">
        <x:v>1</x:v>
      </x:c>
      <x:c r="G54" s="55" t="str">
        <x:v>094050CCh</x:v>
      </x:c>
      <x:c r="H54" s="55" t="str">
        <x:v>00000000h</x:v>
      </x:c>
      <x:c r="I54" s="55" t="str">
        <x:v>42300000h</x:v>
      </x:c>
      <x:c r="J54" s="55" t="str">
        <x:v>00000001h</x:v>
      </x:c>
      <x:c r="K54" s="55" t="str">
        <x:v>00000001h</x:v>
      </x:c>
      <x:c r="L54" s="61" t="str">
        <x:v>Gant Mine Abeille — Mine/abeille – groupe A</x:v>
      </x:c>
      <x:c r="M54" s="61" t="str">
        <x:v>Moyenne</x:v>
      </x:c>
      <x:c r="N54" s="61" t="str">
        <x:v>RAM2.dump / table statique LEVEL_01</x:v>
      </x:c>
    </x:row>
    <x:row r="55">
      <x:c r="A55" s="64" t="n">
        <x:v>49</x:v>
      </x:c>
      <x:c r="B55" s="64" t="n">
        <x:v>0</x:v>
      </x:c>
      <x:c r="C55" s="67" t="n">
        <x:v>1.25</x:v>
      </x:c>
      <x:c r="D55" s="67" t="n">
        <x:f>IF(B55=2,C55/2,C55)</x:f>
        <x:v>1.25</x:v>
      </x:c>
      <x:c r="E55" s="64" t="n">
        <x:v>1</x:v>
      </x:c>
      <x:c r="F55" s="64" t="n">
        <x:v>1</x:v>
      </x:c>
      <x:c r="G55" s="55" t="str">
        <x:v>094050DCh</x:v>
      </x:c>
      <x:c r="H55" s="55" t="str">
        <x:v>00000000h</x:v>
      </x:c>
      <x:c r="I55" s="55" t="str">
        <x:v>3FA00000h</x:v>
      </x:c>
      <x:c r="J55" s="55" t="str">
        <x:v>00000001h</x:v>
      </x:c>
      <x:c r="K55" s="55" t="str">
        <x:v>00000001h</x:v>
      </x:c>
      <x:c r="L55" s="61" t="str">
        <x:v>Gant Mine Abeille — Mine/abeille – groupe B</x:v>
      </x:c>
      <x:c r="M55" s="61" t="str">
        <x:v>Moyenne</x:v>
      </x:c>
      <x:c r="N55" s="61" t="str">
        <x:v>RAM2.dump / table statique LEVEL_01</x:v>
      </x:c>
    </x:row>
    <x:row r="56">
      <x:c r="A56" s="64" t="n">
        <x:v>50</x:v>
      </x:c>
      <x:c r="B56" s="64" t="n">
        <x:v>0</x:v>
      </x:c>
      <x:c r="C56" s="67" t="n">
        <x:v>3.75</x:v>
      </x:c>
      <x:c r="D56" s="67" t="n">
        <x:f>IF(B56=2,C56/2,C56)</x:f>
        <x:v>3.75</x:v>
      </x:c>
      <x:c r="E56" s="64" t="n">
        <x:v>1</x:v>
      </x:c>
      <x:c r="F56" s="64" t="n">
        <x:v>1</x:v>
      </x:c>
      <x:c r="G56" s="55" t="str">
        <x:v>094050ECh</x:v>
      </x:c>
      <x:c r="H56" s="55" t="str">
        <x:v>00000000h</x:v>
      </x:c>
      <x:c r="I56" s="55" t="str">
        <x:v>40700000h</x:v>
      </x:c>
      <x:c r="J56" s="55" t="str">
        <x:v>00000001h</x:v>
      </x:c>
      <x:c r="K56" s="55" t="str">
        <x:v>00000001h</x:v>
      </x:c>
      <x:c r="L56" s="61" t="str">
        <x:v>Gant Mine Abeille — Mine/abeille – groupe B</x:v>
      </x:c>
      <x:c r="M56" s="61" t="str">
        <x:v>Moyenne</x:v>
      </x:c>
      <x:c r="N56" s="61" t="str">
        <x:v>RAM2.dump / table statique LEVEL_01</x:v>
      </x:c>
    </x:row>
    <x:row r="57">
      <x:c r="A57" s="64" t="n">
        <x:v>51</x:v>
      </x:c>
      <x:c r="B57" s="64" t="n">
        <x:v>0</x:v>
      </x:c>
      <x:c r="C57" s="67" t="n">
        <x:v>6.25</x:v>
      </x:c>
      <x:c r="D57" s="67" t="n">
        <x:f>IF(B57=2,C57/2,C57)</x:f>
        <x:v>6.25</x:v>
      </x:c>
      <x:c r="E57" s="64" t="n">
        <x:v>1</x:v>
      </x:c>
      <x:c r="F57" s="64" t="n">
        <x:v>1</x:v>
      </x:c>
      <x:c r="G57" s="55" t="str">
        <x:v>094050FCh</x:v>
      </x:c>
      <x:c r="H57" s="55" t="str">
        <x:v>00000000h</x:v>
      </x:c>
      <x:c r="I57" s="55" t="str">
        <x:v>40C80000h</x:v>
      </x:c>
      <x:c r="J57" s="55" t="str">
        <x:v>00000001h</x:v>
      </x:c>
      <x:c r="K57" s="55" t="str">
        <x:v>00000001h</x:v>
      </x:c>
      <x:c r="L57" s="61" t="str">
        <x:v>Gant Mine Abeille — Mine/abeille – groupe B</x:v>
      </x:c>
      <x:c r="M57" s="61" t="str">
        <x:v>Moyenne</x:v>
      </x:c>
      <x:c r="N57" s="61" t="str">
        <x:v>RAM2.dump / table statique LEVEL_01</x:v>
      </x:c>
    </x:row>
    <x:row r="58">
      <x:c r="A58" s="64" t="n">
        <x:v>52</x:v>
      </x:c>
      <x:c r="B58" s="64" t="n">
        <x:v>0</x:v>
      </x:c>
      <x:c r="C58" s="67" t="n">
        <x:v>5</x:v>
      </x:c>
      <x:c r="D58" s="67" t="n">
        <x:f>IF(B58=2,C58/2,C58)</x:f>
        <x:v>5</x:v>
      </x:c>
      <x:c r="E58" s="64" t="n">
        <x:v>1</x:v>
      </x:c>
      <x:c r="F58" s="64" t="n">
        <x:v>1</x:v>
      </x:c>
      <x:c r="G58" s="55" t="str">
        <x:v>0940510Ch</x:v>
      </x:c>
      <x:c r="H58" s="55" t="str">
        <x:v>00000000h</x:v>
      </x:c>
      <x:c r="I58" s="55" t="str">
        <x:v>40A00000h</x:v>
      </x:c>
      <x:c r="J58" s="55" t="str">
        <x:v>00000001h</x:v>
      </x:c>
      <x:c r="K58" s="55" t="str">
        <x:v>00000001h</x:v>
      </x:c>
      <x:c r="L58" s="61" t="str">
        <x:v>Gant Mine Abeille — Mine/abeille – groupe B</x:v>
      </x:c>
      <x:c r="M58" s="61" t="str">
        <x:v>Moyenne</x:v>
      </x:c>
      <x:c r="N58" s="61" t="str">
        <x:v>RAM2.dump / table statique LEVEL_01</x:v>
      </x:c>
    </x:row>
    <x:row r="59">
      <x:c r="A59" s="64" t="n">
        <x:v>53</x:v>
      </x:c>
      <x:c r="B59" s="64" t="n">
        <x:v>0</x:v>
      </x:c>
      <x:c r="C59" s="67" t="n">
        <x:v>15</x:v>
      </x:c>
      <x:c r="D59" s="67" t="n">
        <x:f>IF(B59=2,C59/2,C59)</x:f>
        <x:v>15</x:v>
      </x:c>
      <x:c r="E59" s="64" t="n">
        <x:v>1</x:v>
      </x:c>
      <x:c r="F59" s="64" t="n">
        <x:v>1</x:v>
      </x:c>
      <x:c r="G59" s="55" t="str">
        <x:v>0940511Ch</x:v>
      </x:c>
      <x:c r="H59" s="55" t="str">
        <x:v>00000000h</x:v>
      </x:c>
      <x:c r="I59" s="55" t="str">
        <x:v>41700000h</x:v>
      </x:c>
      <x:c r="J59" s="55" t="str">
        <x:v>00000001h</x:v>
      </x:c>
      <x:c r="K59" s="55" t="str">
        <x:v>00000001h</x:v>
      </x:c>
      <x:c r="L59" s="61" t="str">
        <x:v>Gant Mine Abeille — Mine/abeille – groupe B</x:v>
      </x:c>
      <x:c r="M59" s="61" t="str">
        <x:v>Moyenne</x:v>
      </x:c>
      <x:c r="N59" s="61" t="str">
        <x:v>RAM2.dump / table statique LEVEL_01</x:v>
      </x:c>
    </x:row>
    <x:row r="60">
      <x:c r="A60" s="64" t="n">
        <x:v>54</x:v>
      </x:c>
      <x:c r="B60" s="64" t="n">
        <x:v>0</x:v>
      </x:c>
      <x:c r="C60" s="67" t="n">
        <x:v>21</x:v>
      </x:c>
      <x:c r="D60" s="67" t="n">
        <x:f>IF(B60=2,C60/2,C60)</x:f>
        <x:v>21</x:v>
      </x:c>
      <x:c r="E60" s="64" t="n">
        <x:v>1</x:v>
      </x:c>
      <x:c r="F60" s="64" t="n">
        <x:v>1</x:v>
      </x:c>
      <x:c r="G60" s="55" t="str">
        <x:v>0940512Ch</x:v>
      </x:c>
      <x:c r="H60" s="55" t="str">
        <x:v>00000000h</x:v>
      </x:c>
      <x:c r="I60" s="55" t="str">
        <x:v>41A80000h</x:v>
      </x:c>
      <x:c r="J60" s="55" t="str">
        <x:v>00000001h</x:v>
      </x:c>
      <x:c r="K60" s="55" t="str">
        <x:v>00000001h</x:v>
      </x:c>
      <x:c r="L60" s="61" t="str">
        <x:v>Gant Mine Abeille — Mine/abeille – groupe B</x:v>
      </x:c>
      <x:c r="M60" s="61" t="str">
        <x:v>Moyenne</x:v>
      </x:c>
      <x:c r="N60" s="61" t="str">
        <x:v>RAM2.dump / table statique LEVEL_01</x:v>
      </x:c>
    </x:row>
    <x:row r="61">
      <x:c r="A61" s="64" t="n">
        <x:v>55</x:v>
      </x:c>
      <x:c r="B61" s="64" t="n">
        <x:v>0</x:v>
      </x:c>
      <x:c r="C61" s="67" t="n">
        <x:v>30</x:v>
      </x:c>
      <x:c r="D61" s="67" t="n">
        <x:f>IF(B61=2,C61/2,C61)</x:f>
        <x:v>30</x:v>
      </x:c>
      <x:c r="E61" s="64" t="n">
        <x:v>1</x:v>
      </x:c>
      <x:c r="F61" s="64" t="n">
        <x:v>1</x:v>
      </x:c>
      <x:c r="G61" s="55" t="str">
        <x:v>0940513Ch</x:v>
      </x:c>
      <x:c r="H61" s="55" t="str">
        <x:v>00000000h</x:v>
      </x:c>
      <x:c r="I61" s="55" t="str">
        <x:v>41F00000h</x:v>
      </x:c>
      <x:c r="J61" s="55" t="str">
        <x:v>00000001h</x:v>
      </x:c>
      <x:c r="K61" s="55" t="str">
        <x:v>00000001h</x:v>
      </x:c>
      <x:c r="L61" s="61" t="str">
        <x:v>Gant Mine Abeille — Mine/abeille – groupe B</x:v>
      </x:c>
      <x:c r="M61" s="61" t="str">
        <x:v>Moyenne</x:v>
      </x:c>
      <x:c r="N61" s="61" t="str">
        <x:v>RAM2.dump / table statique LEVEL_01</x:v>
      </x:c>
    </x:row>
    <x:row r="62">
      <x:c r="A62" s="64" t="n">
        <x:v>56</x:v>
      </x:c>
      <x:c r="B62" s="64" t="n">
        <x:v>0</x:v>
      </x:c>
      <x:c r="C62" s="67" t="n">
        <x:v>50.5</x:v>
      </x:c>
      <x:c r="D62" s="67" t="n">
        <x:f>IF(B62=2,C62/2,C62)</x:f>
        <x:v>50.5</x:v>
      </x:c>
      <x:c r="E62" s="64" t="n">
        <x:v>1</x:v>
      </x:c>
      <x:c r="F62" s="64" t="n">
        <x:v>1</x:v>
      </x:c>
      <x:c r="G62" s="55" t="str">
        <x:v>0940514Ch</x:v>
      </x:c>
      <x:c r="H62" s="55" t="str">
        <x:v>00000000h</x:v>
      </x:c>
      <x:c r="I62" s="55" t="str">
        <x:v>424A0000h</x:v>
      </x:c>
      <x:c r="J62" s="55" t="str">
        <x:v>00000001h</x:v>
      </x:c>
      <x:c r="K62" s="55" t="str">
        <x:v>00000001h</x:v>
      </x:c>
      <x:c r="L62" s="61" t="str">
        <x:v>Gant Mine Abeille — Mine/abeille – groupe B</x:v>
      </x:c>
      <x:c r="M62" s="61" t="str">
        <x:v>Moyenne</x:v>
      </x:c>
      <x:c r="N62" s="61" t="str">
        <x:v>RAM2.dump / table statique LEVEL_01</x:v>
      </x:c>
    </x:row>
    <x:row r="63">
      <x:c r="A63" s="64" t="n">
        <x:v>57</x:v>
      </x:c>
      <x:c r="B63" s="64" t="n">
        <x:v>0</x:v>
      </x:c>
      <x:c r="C63" s="67" t="n">
        <x:v>4</x:v>
      </x:c>
      <x:c r="D63" s="67" t="n">
        <x:f>IF(B63=2,C63/2,C63)</x:f>
        <x:v>4</x:v>
      </x:c>
      <x:c r="E63" s="64" t="n">
        <x:v>1</x:v>
      </x:c>
      <x:c r="F63" s="64" t="n">
        <x:v>2</x:v>
      </x:c>
      <x:c r="G63" s="55" t="str">
        <x:v>0940515Ch</x:v>
      </x:c>
      <x:c r="H63" s="55" t="str">
        <x:v>00000000h</x:v>
      </x:c>
      <x:c r="I63" s="55" t="str">
        <x:v>40800000h</x:v>
      </x:c>
      <x:c r="J63" s="55" t="str">
        <x:v>00000001h</x:v>
      </x:c>
      <x:c r="K63" s="55" t="str">
        <x:v>00000002h</x:v>
      </x:c>
      <x:c r="L63" s="61" t="str"/>
      <x:c r="M63" s="61" t="str">
        <x:v>Non résolu</x:v>
      </x:c>
      <x:c r="N63" s="61" t="str">
        <x:v>RAM2.dump / table statique LEVEL_01</x:v>
      </x:c>
    </x:row>
    <x:row r="64">
      <x:c r="A64" s="64" t="n">
        <x:v>58</x:v>
      </x:c>
      <x:c r="B64" s="64" t="n">
        <x:v>0</x:v>
      </x:c>
      <x:c r="C64" s="67" t="n">
        <x:v>8</x:v>
      </x:c>
      <x:c r="D64" s="67" t="n">
        <x:f>IF(B64=2,C64/2,C64)</x:f>
        <x:v>8</x:v>
      </x:c>
      <x:c r="E64" s="64" t="n">
        <x:v>1</x:v>
      </x:c>
      <x:c r="F64" s="64" t="n">
        <x:v>2</x:v>
      </x:c>
      <x:c r="G64" s="55" t="str">
        <x:v>0940516Ch</x:v>
      </x:c>
      <x:c r="H64" s="55" t="str">
        <x:v>00000000h</x:v>
      </x:c>
      <x:c r="I64" s="55" t="str">
        <x:v>41000000h</x:v>
      </x:c>
      <x:c r="J64" s="55" t="str">
        <x:v>00000001h</x:v>
      </x:c>
      <x:c r="K64" s="55" t="str">
        <x:v>00000002h</x:v>
      </x:c>
      <x:c r="L64" s="61" t="str"/>
      <x:c r="M64" s="61" t="str">
        <x:v>Non résolu</x:v>
      </x:c>
      <x:c r="N64" s="61" t="str">
        <x:v>RAM2.dump / table statique LEVEL_01</x:v>
      </x:c>
    </x:row>
    <x:row r="65">
      <x:c r="A65" s="64" t="n">
        <x:v>59</x:v>
      </x:c>
      <x:c r="B65" s="64" t="n">
        <x:v>0</x:v>
      </x:c>
      <x:c r="C65" s="67" t="n">
        <x:v>12</x:v>
      </x:c>
      <x:c r="D65" s="67" t="n">
        <x:f>IF(B65=2,C65/2,C65)</x:f>
        <x:v>12</x:v>
      </x:c>
      <x:c r="E65" s="64" t="n">
        <x:v>1</x:v>
      </x:c>
      <x:c r="F65" s="64" t="n">
        <x:v>2</x:v>
      </x:c>
      <x:c r="G65" s="55" t="str">
        <x:v>0940517Ch</x:v>
      </x:c>
      <x:c r="H65" s="55" t="str">
        <x:v>00000000h</x:v>
      </x:c>
      <x:c r="I65" s="55" t="str">
        <x:v>41400000h</x:v>
      </x:c>
      <x:c r="J65" s="55" t="str">
        <x:v>00000001h</x:v>
      </x:c>
      <x:c r="K65" s="55" t="str">
        <x:v>00000002h</x:v>
      </x:c>
      <x:c r="L65" s="61" t="str"/>
      <x:c r="M65" s="61" t="str">
        <x:v>Non résolu</x:v>
      </x:c>
      <x:c r="N65" s="61" t="str">
        <x:v>RAM2.dump / table statique LEVEL_01</x:v>
      </x:c>
    </x:row>
    <x:row r="66">
      <x:c r="A66" s="64" t="n">
        <x:v>60</x:v>
      </x:c>
      <x:c r="B66" s="64" t="n">
        <x:v>0</x:v>
      </x:c>
      <x:c r="C66" s="67" t="n">
        <x:v>16</x:v>
      </x:c>
      <x:c r="D66" s="67" t="n">
        <x:f>IF(B66=2,C66/2,C66)</x:f>
        <x:v>16</x:v>
      </x:c>
      <x:c r="E66" s="64" t="n">
        <x:v>1</x:v>
      </x:c>
      <x:c r="F66" s="64" t="n">
        <x:v>3</x:v>
      </x:c>
      <x:c r="G66" s="55" t="str">
        <x:v>0940518Ch</x:v>
      </x:c>
      <x:c r="H66" s="55" t="str">
        <x:v>00000000h</x:v>
      </x:c>
      <x:c r="I66" s="55" t="str">
        <x:v>41800000h</x:v>
      </x:c>
      <x:c r="J66" s="55" t="str">
        <x:v>00000001h</x:v>
      </x:c>
      <x:c r="K66" s="55" t="str">
        <x:v>00000003h</x:v>
      </x:c>
      <x:c r="L66" s="61" t="str"/>
      <x:c r="M66" s="61" t="str">
        <x:v>Non résolu</x:v>
      </x:c>
      <x:c r="N66" s="61" t="str">
        <x:v>RAM2.dump / table statique LEVEL_01</x:v>
      </x:c>
    </x:row>
    <x:row r="67">
      <x:c r="A67" s="64" t="n">
        <x:v>61</x:v>
      </x:c>
      <x:c r="B67" s="64" t="n">
        <x:v>0</x:v>
      </x:c>
      <x:c r="C67" s="67" t="n">
        <x:v>38</x:v>
      </x:c>
      <x:c r="D67" s="67" t="n">
        <x:f>IF(B67=2,C67/2,C67)</x:f>
        <x:v>38</x:v>
      </x:c>
      <x:c r="E67" s="64" t="n">
        <x:v>1</x:v>
      </x:c>
      <x:c r="F67" s="64" t="n">
        <x:v>3</x:v>
      </x:c>
      <x:c r="G67" s="55" t="str">
        <x:v>0940519Ch</x:v>
      </x:c>
      <x:c r="H67" s="55" t="str">
        <x:v>00000000h</x:v>
      </x:c>
      <x:c r="I67" s="55" t="str">
        <x:v>42180000h</x:v>
      </x:c>
      <x:c r="J67" s="55" t="str">
        <x:v>00000001h</x:v>
      </x:c>
      <x:c r="K67" s="55" t="str">
        <x:v>00000003h</x:v>
      </x:c>
      <x:c r="L67" s="61" t="str"/>
      <x:c r="M67" s="61" t="str">
        <x:v>Non résolu</x:v>
      </x:c>
      <x:c r="N67" s="61" t="str">
        <x:v>RAM2.dump / table statique LEVEL_01</x:v>
      </x:c>
    </x:row>
    <x:row r="68">
      <x:c r="A68" s="64" t="n">
        <x:v>62</x:v>
      </x:c>
      <x:c r="B68" s="64" t="n">
        <x:v>0</x:v>
      </x:c>
      <x:c r="C68" s="67" t="n">
        <x:v>66</x:v>
      </x:c>
      <x:c r="D68" s="67" t="n">
        <x:f>IF(B68=2,C68/2,C68)</x:f>
        <x:v>66</x:v>
      </x:c>
      <x:c r="E68" s="64" t="n">
        <x:v>1</x:v>
      </x:c>
      <x:c r="F68" s="64" t="n">
        <x:v>3</x:v>
      </x:c>
      <x:c r="G68" s="55" t="str">
        <x:v>094051ACh</x:v>
      </x:c>
      <x:c r="H68" s="55" t="str">
        <x:v>00000000h</x:v>
      </x:c>
      <x:c r="I68" s="55" t="str">
        <x:v>42840000h</x:v>
      </x:c>
      <x:c r="J68" s="55" t="str">
        <x:v>00000001h</x:v>
      </x:c>
      <x:c r="K68" s="55" t="str">
        <x:v>00000003h</x:v>
      </x:c>
      <x:c r="L68" s="61" t="str"/>
      <x:c r="M68" s="61" t="str">
        <x:v>Non résolu</x:v>
      </x:c>
      <x:c r="N68" s="61" t="str">
        <x:v>RAM2.dump / table statique LEVEL_01</x:v>
      </x:c>
    </x:row>
    <x:row r="69">
      <x:c r="A69" s="64" t="n">
        <x:v>63</x:v>
      </x:c>
      <x:c r="B69" s="64" t="n">
        <x:v>0</x:v>
      </x:c>
      <x:c r="C69" s="67" t="n">
        <x:v>90</x:v>
      </x:c>
      <x:c r="D69" s="67" t="n">
        <x:f>IF(B69=2,C69/2,C69)</x:f>
        <x:v>90</x:v>
      </x:c>
      <x:c r="E69" s="64" t="n">
        <x:v>1</x:v>
      </x:c>
      <x:c r="F69" s="64" t="n">
        <x:v>3</x:v>
      </x:c>
      <x:c r="G69" s="55" t="str">
        <x:v>094051BCh</x:v>
      </x:c>
      <x:c r="H69" s="55" t="str">
        <x:v>00000000h</x:v>
      </x:c>
      <x:c r="I69" s="55" t="str">
        <x:v>42B40000h</x:v>
      </x:c>
      <x:c r="J69" s="55" t="str">
        <x:v>00000001h</x:v>
      </x:c>
      <x:c r="K69" s="55" t="str">
        <x:v>00000003h</x:v>
      </x:c>
      <x:c r="L69" s="61" t="str"/>
      <x:c r="M69" s="61" t="str">
        <x:v>Non résolu</x:v>
      </x:c>
      <x:c r="N69" s="61" t="str">
        <x:v>RAM2.dump / table statique LEVEL_01</x:v>
      </x:c>
    </x:row>
    <x:row r="70">
      <x:c r="A70" s="64" t="n">
        <x:v>64</x:v>
      </x:c>
      <x:c r="B70" s="64" t="n">
        <x:v>0</x:v>
      </x:c>
      <x:c r="C70" s="67" t="n">
        <x:v>134</x:v>
      </x:c>
      <x:c r="D70" s="67" t="n">
        <x:f>IF(B70=2,C70/2,C70)</x:f>
        <x:v>134</x:v>
      </x:c>
      <x:c r="E70" s="64" t="n">
        <x:v>1</x:v>
      </x:c>
      <x:c r="F70" s="64" t="n">
        <x:v>3</x:v>
      </x:c>
      <x:c r="G70" s="55" t="str">
        <x:v>094051CCh</x:v>
      </x:c>
      <x:c r="H70" s="55" t="str">
        <x:v>00000000h</x:v>
      </x:c>
      <x:c r="I70" s="55" t="str">
        <x:v>43060000h</x:v>
      </x:c>
      <x:c r="J70" s="55" t="str">
        <x:v>00000001h</x:v>
      </x:c>
      <x:c r="K70" s="55" t="str">
        <x:v>00000003h</x:v>
      </x:c>
      <x:c r="L70" s="61" t="str"/>
      <x:c r="M70" s="61" t="str">
        <x:v>Non résolu</x:v>
      </x:c>
      <x:c r="N70" s="61" t="str">
        <x:v>RAM2.dump / table statique LEVEL_01</x:v>
      </x:c>
    </x:row>
    <x:row r="71">
      <x:c r="A71" s="64" t="n">
        <x:v>65</x:v>
      </x:c>
      <x:c r="B71" s="64" t="n">
        <x:v>1</x:v>
      </x:c>
      <x:c r="C71" s="67" t="n">
        <x:v>0.5333333611488342</x:v>
      </x:c>
      <x:c r="D71" s="67" t="n">
        <x:f>IF(B71=2,C71/2,C71)</x:f>
        <x:v>0.5333333611488342</x:v>
      </x:c>
      <x:c r="E71" s="64" t="n">
        <x:v>0</x:v>
      </x:c>
      <x:c r="F71" s="64" t="n">
        <x:v>1</x:v>
      </x:c>
      <x:c r="G71" s="55" t="str">
        <x:v>094051DCh</x:v>
      </x:c>
      <x:c r="H71" s="55" t="str">
        <x:v>00000001h</x:v>
      </x:c>
      <x:c r="I71" s="55" t="str">
        <x:v>3F088889h</x:v>
      </x:c>
      <x:c r="J71" s="55" t="str">
        <x:v>00000000h</x:v>
      </x:c>
      <x:c r="K71" s="55" t="str">
        <x:v>00000001h</x:v>
      </x:c>
      <x:c r="L71" s="61" t="str">
        <x:v>Incinérator — Flamme – tick principal</x:v>
      </x:c>
      <x:c r="M71" s="61" t="str">
        <x:v>Élevée</x:v>
      </x:c>
      <x:c r="N71" s="61" t="str">
        <x:v>RAM2.dump / table statique LEVEL_01</x:v>
      </x:c>
    </x:row>
    <x:row r="72">
      <x:c r="A72" s="64" t="n">
        <x:v>66</x:v>
      </x:c>
      <x:c r="B72" s="64" t="n">
        <x:v>1</x:v>
      </x:c>
      <x:c r="C72" s="67" t="n">
        <x:v>0.8000000715255737</x:v>
      </x:c>
      <x:c r="D72" s="67" t="n">
        <x:f>IF(B72=2,C72/2,C72)</x:f>
        <x:v>0.8000000715255737</x:v>
      </x:c>
      <x:c r="E72" s="64" t="n">
        <x:v>0</x:v>
      </x:c>
      <x:c r="F72" s="64" t="n">
        <x:v>1</x:v>
      </x:c>
      <x:c r="G72" s="55" t="str">
        <x:v>094051ECh</x:v>
      </x:c>
      <x:c r="H72" s="55" t="str">
        <x:v>00000001h</x:v>
      </x:c>
      <x:c r="I72" s="55" t="str">
        <x:v>3F4CCCCEh</x:v>
      </x:c>
      <x:c r="J72" s="55" t="str">
        <x:v>00000000h</x:v>
      </x:c>
      <x:c r="K72" s="55" t="str">
        <x:v>00000001h</x:v>
      </x:c>
      <x:c r="L72" s="61" t="str">
        <x:v>Incinérator — Flamme – tick principal</x:v>
      </x:c>
      <x:c r="M72" s="61" t="str">
        <x:v>Élevée</x:v>
      </x:c>
      <x:c r="N72" s="61" t="str">
        <x:v>RAM2.dump / table statique LEVEL_01</x:v>
      </x:c>
    </x:row>
    <x:row r="73">
      <x:c r="A73" s="64" t="n">
        <x:v>67</x:v>
      </x:c>
      <x:c r="B73" s="64" t="n">
        <x:v>1</x:v>
      </x:c>
      <x:c r="C73" s="67" t="n">
        <x:v>1.0666667222976685</x:v>
      </x:c>
      <x:c r="D73" s="67" t="n">
        <x:f>IF(B73=2,C73/2,C73)</x:f>
        <x:v>1.0666667222976685</x:v>
      </x:c>
      <x:c r="E73" s="64" t="n">
        <x:v>0</x:v>
      </x:c>
      <x:c r="F73" s="64" t="n">
        <x:v>1</x:v>
      </x:c>
      <x:c r="G73" s="55" t="str">
        <x:v>094051FCh</x:v>
      </x:c>
      <x:c r="H73" s="55" t="str">
        <x:v>00000001h</x:v>
      </x:c>
      <x:c r="I73" s="55" t="str">
        <x:v>3F888889h</x:v>
      </x:c>
      <x:c r="J73" s="55" t="str">
        <x:v>00000000h</x:v>
      </x:c>
      <x:c r="K73" s="55" t="str">
        <x:v>00000001h</x:v>
      </x:c>
      <x:c r="L73" s="61" t="str">
        <x:v>Incinérator — Flamme – tick principal</x:v>
      </x:c>
      <x:c r="M73" s="61" t="str">
        <x:v>Élevée</x:v>
      </x:c>
      <x:c r="N73" s="61" t="str">
        <x:v>RAM2.dump / table statique LEVEL_01</x:v>
      </x:c>
    </x:row>
    <x:row r="74">
      <x:c r="A74" s="64" t="n">
        <x:v>68</x:v>
      </x:c>
      <x:c r="B74" s="64" t="n">
        <x:v>1</x:v>
      </x:c>
      <x:c r="C74" s="67" t="n">
        <x:v>2.133333444595337</x:v>
      </x:c>
      <x:c r="D74" s="67" t="n">
        <x:f>IF(B74=2,C74/2,C74)</x:f>
        <x:v>2.133333444595337</x:v>
      </x:c>
      <x:c r="E74" s="64" t="n">
        <x:v>0</x:v>
      </x:c>
      <x:c r="F74" s="64" t="n">
        <x:v>2</x:v>
      </x:c>
      <x:c r="G74" s="55" t="str">
        <x:v>0940520Ch</x:v>
      </x:c>
      <x:c r="H74" s="55" t="str">
        <x:v>00000001h</x:v>
      </x:c>
      <x:c r="I74" s="55" t="str">
        <x:v>40088889h</x:v>
      </x:c>
      <x:c r="J74" s="55" t="str">
        <x:v>00000000h</x:v>
      </x:c>
      <x:c r="K74" s="55" t="str">
        <x:v>00000002h</x:v>
      </x:c>
      <x:c r="L74" s="61" t="str">
        <x:v>Incinérator — Flamme – tick principal</x:v>
      </x:c>
      <x:c r="M74" s="61" t="str">
        <x:v>Élevée</x:v>
      </x:c>
      <x:c r="N74" s="61" t="str">
        <x:v>RAM2.dump / table statique LEVEL_01</x:v>
      </x:c>
    </x:row>
    <x:row r="75">
      <x:c r="A75" s="64" t="n">
        <x:v>69</x:v>
      </x:c>
      <x:c r="B75" s="64" t="n">
        <x:v>1</x:v>
      </x:c>
      <x:c r="C75" s="67" t="n">
        <x:v>4.6666669845581055</x:v>
      </x:c>
      <x:c r="D75" s="67" t="n">
        <x:f>IF(B75=2,C75/2,C75)</x:f>
        <x:v>4.6666669845581055</x:v>
      </x:c>
      <x:c r="E75" s="64" t="n">
        <x:v>0</x:v>
      </x:c>
      <x:c r="F75" s="64" t="n">
        <x:v>2</x:v>
      </x:c>
      <x:c r="G75" s="55" t="str">
        <x:v>0940521Ch</x:v>
      </x:c>
      <x:c r="H75" s="55" t="str">
        <x:v>00000001h</x:v>
      </x:c>
      <x:c r="I75" s="55" t="str">
        <x:v>40955556h</x:v>
      </x:c>
      <x:c r="J75" s="55" t="str">
        <x:v>00000000h</x:v>
      </x:c>
      <x:c r="K75" s="55" t="str">
        <x:v>00000002h</x:v>
      </x:c>
      <x:c r="L75" s="61" t="str">
        <x:v>Incinérator — Flamme – tick principal</x:v>
      </x:c>
      <x:c r="M75" s="61" t="str">
        <x:v>Élevée</x:v>
      </x:c>
      <x:c r="N75" s="61" t="str">
        <x:v>RAM2.dump / table statique LEVEL_01</x:v>
      </x:c>
    </x:row>
    <x:row r="76">
      <x:c r="A76" s="64" t="n">
        <x:v>70</x:v>
      </x:c>
      <x:c r="B76" s="64" t="n">
        <x:v>1</x:v>
      </x:c>
      <x:c r="C76" s="67" t="n">
        <x:v>7.000000476837158</x:v>
      </x:c>
      <x:c r="D76" s="67" t="n">
        <x:f>IF(B76=2,C76/2,C76)</x:f>
        <x:v>7.000000476837158</x:v>
      </x:c>
      <x:c r="E76" s="64" t="n">
        <x:v>0</x:v>
      </x:c>
      <x:c r="F76" s="64" t="n">
        <x:v>2</x:v>
      </x:c>
      <x:c r="G76" s="55" t="str">
        <x:v>0940522Ch</x:v>
      </x:c>
      <x:c r="H76" s="55" t="str">
        <x:v>00000001h</x:v>
      </x:c>
      <x:c r="I76" s="55" t="str">
        <x:v>40E00001h</x:v>
      </x:c>
      <x:c r="J76" s="55" t="str">
        <x:v>00000000h</x:v>
      </x:c>
      <x:c r="K76" s="55" t="str">
        <x:v>00000002h</x:v>
      </x:c>
      <x:c r="L76" s="61" t="str">
        <x:v>Incinérator — Flamme – tick principal</x:v>
      </x:c>
      <x:c r="M76" s="61" t="str">
        <x:v>Élevée</x:v>
      </x:c>
      <x:c r="N76" s="61" t="str">
        <x:v>RAM2.dump / table statique LEVEL_01</x:v>
      </x:c>
    </x:row>
    <x:row r="77">
      <x:c r="A77" s="64" t="n">
        <x:v>71</x:v>
      </x:c>
      <x:c r="B77" s="64" t="n">
        <x:v>1</x:v>
      </x:c>
      <x:c r="C77" s="67" t="n">
        <x:v>10.000000953674316</x:v>
      </x:c>
      <x:c r="D77" s="67" t="n">
        <x:f>IF(B77=2,C77/2,C77)</x:f>
        <x:v>10.000000953674316</x:v>
      </x:c>
      <x:c r="E77" s="64" t="n">
        <x:v>0</x:v>
      </x:c>
      <x:c r="F77" s="64" t="n">
        <x:v>2</x:v>
      </x:c>
      <x:c r="G77" s="55" t="str">
        <x:v>0940523Ch</x:v>
      </x:c>
      <x:c r="H77" s="55" t="str">
        <x:v>00000001h</x:v>
      </x:c>
      <x:c r="I77" s="55" t="str">
        <x:v>41200001h</x:v>
      </x:c>
      <x:c r="J77" s="55" t="str">
        <x:v>00000000h</x:v>
      </x:c>
      <x:c r="K77" s="55" t="str">
        <x:v>00000002h</x:v>
      </x:c>
      <x:c r="L77" s="61" t="str">
        <x:v>Incinérator — Flamme – tick principal</x:v>
      </x:c>
      <x:c r="M77" s="61" t="str">
        <x:v>Élevée</x:v>
      </x:c>
      <x:c r="N77" s="61" t="str">
        <x:v>RAM2.dump / table statique LEVEL_01</x:v>
      </x:c>
    </x:row>
    <x:row r="78">
      <x:c r="A78" s="64" t="n">
        <x:v>72</x:v>
      </x:c>
      <x:c r="B78" s="64" t="n">
        <x:v>1</x:v>
      </x:c>
      <x:c r="C78" s="67" t="n">
        <x:v>16.666667938232422</x:v>
      </x:c>
      <x:c r="D78" s="67" t="n">
        <x:f>IF(B78=2,C78/2,C78)</x:f>
        <x:v>16.666667938232422</x:v>
      </x:c>
      <x:c r="E78" s="64" t="n">
        <x:v>0</x:v>
      </x:c>
      <x:c r="F78" s="64" t="n">
        <x:v>2</x:v>
      </x:c>
      <x:c r="G78" s="55" t="str">
        <x:v>0940524Ch</x:v>
      </x:c>
      <x:c r="H78" s="55" t="str">
        <x:v>00000001h</x:v>
      </x:c>
      <x:c r="I78" s="55" t="str">
        <x:v>41855556h</x:v>
      </x:c>
      <x:c r="J78" s="55" t="str">
        <x:v>00000000h</x:v>
      </x:c>
      <x:c r="K78" s="55" t="str">
        <x:v>00000002h</x:v>
      </x:c>
      <x:c r="L78" s="61" t="str">
        <x:v>Incinérator — Flamme – tick principal</x:v>
      </x:c>
      <x:c r="M78" s="61" t="str">
        <x:v>Élevée</x:v>
      </x:c>
      <x:c r="N78" s="61" t="str">
        <x:v>RAM2.dump / table statique LEVEL_01</x:v>
      </x:c>
    </x:row>
    <x:row r="79">
      <x:c r="A79" s="64" t="n">
        <x:v>73</x:v>
      </x:c>
      <x:c r="B79" s="64" t="n">
        <x:v>1</x:v>
      </x:c>
      <x:c r="C79" s="67" t="n">
        <x:v>0.10000000894069672</x:v>
      </x:c>
      <x:c r="D79" s="67" t="n">
        <x:f>IF(B79=2,C79/2,C79)</x:f>
        <x:v>0.10000000894069672</x:v>
      </x:c>
      <x:c r="E79" s="64" t="n">
        <x:v>0</x:v>
      </x:c>
      <x:c r="F79" s="64" t="n">
        <x:v>0</x:v>
      </x:c>
      <x:c r="G79" s="55" t="str">
        <x:v>0940525Ch</x:v>
      </x:c>
      <x:c r="H79" s="55" t="str">
        <x:v>00000001h</x:v>
      </x:c>
      <x:c r="I79" s="55" t="str">
        <x:v>3DCCCCCEh</x:v>
      </x:c>
      <x:c r="J79" s="55" t="str">
        <x:v>00000000h</x:v>
      </x:c>
      <x:c r="K79" s="55" t="str">
        <x:v>00000000h</x:v>
      </x:c>
      <x:c r="L79" s="61" t="str">
        <x:v>Incinérator — Flamme – voie secondaire</x:v>
      </x:c>
      <x:c r="M79" s="61" t="str">
        <x:v>Élevée</x:v>
      </x:c>
      <x:c r="N79" s="61" t="str">
        <x:v>RAM2.dump / table statique LEVEL_01</x:v>
      </x:c>
    </x:row>
    <x:row r="80">
      <x:c r="A80" s="64" t="n">
        <x:v>74</x:v>
      </x:c>
      <x:c r="B80" s="64" t="n">
        <x:v>1</x:v>
      </x:c>
      <x:c r="C80" s="67" t="n">
        <x:v>0.20000001788139343</x:v>
      </x:c>
      <x:c r="D80" s="67" t="n">
        <x:f>IF(B80=2,C80/2,C80)</x:f>
        <x:v>0.20000001788139343</x:v>
      </x:c>
      <x:c r="E80" s="64" t="n">
        <x:v>0</x:v>
      </x:c>
      <x:c r="F80" s="64" t="n">
        <x:v>0</x:v>
      </x:c>
      <x:c r="G80" s="55" t="str">
        <x:v>0940526Ch</x:v>
      </x:c>
      <x:c r="H80" s="55" t="str">
        <x:v>00000001h</x:v>
      </x:c>
      <x:c r="I80" s="55" t="str">
        <x:v>3E4CCCCEh</x:v>
      </x:c>
      <x:c r="J80" s="55" t="str">
        <x:v>00000000h</x:v>
      </x:c>
      <x:c r="K80" s="55" t="str">
        <x:v>00000000h</x:v>
      </x:c>
      <x:c r="L80" s="61" t="str">
        <x:v>Incinérator — Flamme – voie secondaire</x:v>
      </x:c>
      <x:c r="M80" s="61" t="str">
        <x:v>Élevée</x:v>
      </x:c>
      <x:c r="N80" s="61" t="str">
        <x:v>RAM2.dump / table statique LEVEL_01</x:v>
      </x:c>
    </x:row>
    <x:row r="81">
      <x:c r="A81" s="64" t="n">
        <x:v>75</x:v>
      </x:c>
      <x:c r="B81" s="64" t="n">
        <x:v>1</x:v>
      </x:c>
      <x:c r="C81" s="67" t="n">
        <x:v>0.3333333432674408</x:v>
      </x:c>
      <x:c r="D81" s="67" t="n">
        <x:f>IF(B81=2,C81/2,C81)</x:f>
        <x:v>0.3333333432674408</x:v>
      </x:c>
      <x:c r="E81" s="64" t="n">
        <x:v>0</x:v>
      </x:c>
      <x:c r="F81" s="64" t="n">
        <x:v>0</x:v>
      </x:c>
      <x:c r="G81" s="55" t="str">
        <x:v>0940527Ch</x:v>
      </x:c>
      <x:c r="H81" s="55" t="str">
        <x:v>00000001h</x:v>
      </x:c>
      <x:c r="I81" s="55" t="str">
        <x:v>3EAAAAABh</x:v>
      </x:c>
      <x:c r="J81" s="55" t="str">
        <x:v>00000000h</x:v>
      </x:c>
      <x:c r="K81" s="55" t="str">
        <x:v>00000000h</x:v>
      </x:c>
      <x:c r="L81" s="61" t="str">
        <x:v>Incinérator — Flamme – voie secondaire</x:v>
      </x:c>
      <x:c r="M81" s="61" t="str">
        <x:v>Élevée</x:v>
      </x:c>
      <x:c r="N81" s="61" t="str">
        <x:v>RAM2.dump / table statique LEVEL_01</x:v>
      </x:c>
    </x:row>
    <x:row r="82">
      <x:c r="A82" s="64" t="n">
        <x:v>76</x:v>
      </x:c>
      <x:c r="B82" s="64" t="n">
        <x:v>1</x:v>
      </x:c>
      <x:c r="C82" s="67" t="n">
        <x:v>0.5333333611488342</x:v>
      </x:c>
      <x:c r="D82" s="67" t="n">
        <x:f>IF(B82=2,C82/2,C82)</x:f>
        <x:v>0.5333333611488342</x:v>
      </x:c>
      <x:c r="E82" s="64" t="n">
        <x:v>0</x:v>
      </x:c>
      <x:c r="F82" s="64" t="n">
        <x:v>0</x:v>
      </x:c>
      <x:c r="G82" s="55" t="str">
        <x:v>0940528Ch</x:v>
      </x:c>
      <x:c r="H82" s="55" t="str">
        <x:v>00000001h</x:v>
      </x:c>
      <x:c r="I82" s="55" t="str">
        <x:v>3F088889h</x:v>
      </x:c>
      <x:c r="J82" s="55" t="str">
        <x:v>00000000h</x:v>
      </x:c>
      <x:c r="K82" s="55" t="str">
        <x:v>00000000h</x:v>
      </x:c>
      <x:c r="L82" s="61" t="str">
        <x:v>Incinérator — Flamme – voie secondaire</x:v>
      </x:c>
      <x:c r="M82" s="61" t="str">
        <x:v>Élevée</x:v>
      </x:c>
      <x:c r="N82" s="61" t="str">
        <x:v>RAM2.dump / table statique LEVEL_01</x:v>
      </x:c>
    </x:row>
    <x:row r="83">
      <x:c r="A83" s="64" t="n">
        <x:v>77</x:v>
      </x:c>
      <x:c r="B83" s="64" t="n">
        <x:v>1</x:v>
      </x:c>
      <x:c r="C83" s="67" t="n">
        <x:v>1.3333333730697632</x:v>
      </x:c>
      <x:c r="D83" s="67" t="n">
        <x:f>IF(B83=2,C83/2,C83)</x:f>
        <x:v>1.3333333730697632</x:v>
      </x:c>
      <x:c r="E83" s="64" t="n">
        <x:v>0</x:v>
      </x:c>
      <x:c r="F83" s="64" t="n">
        <x:v>0</x:v>
      </x:c>
      <x:c r="G83" s="55" t="str">
        <x:v>0940529Ch</x:v>
      </x:c>
      <x:c r="H83" s="55" t="str">
        <x:v>00000001h</x:v>
      </x:c>
      <x:c r="I83" s="55" t="str">
        <x:v>3FAAAAABh</x:v>
      </x:c>
      <x:c r="J83" s="55" t="str">
        <x:v>00000000h</x:v>
      </x:c>
      <x:c r="K83" s="55" t="str">
        <x:v>00000000h</x:v>
      </x:c>
      <x:c r="L83" s="61" t="str">
        <x:v>Incinérator — Flamme – voie secondaire</x:v>
      </x:c>
      <x:c r="M83" s="61" t="str">
        <x:v>Élevée</x:v>
      </x:c>
      <x:c r="N83" s="61" t="str">
        <x:v>RAM2.dump / table statique LEVEL_01</x:v>
      </x:c>
    </x:row>
    <x:row r="84">
      <x:c r="A84" s="64" t="n">
        <x:v>78</x:v>
      </x:c>
      <x:c r="B84" s="64" t="n">
        <x:v>1</x:v>
      </x:c>
      <x:c r="C84" s="67" t="n">
        <x:v>1.8333333730697632</x:v>
      </x:c>
      <x:c r="D84" s="67" t="n">
        <x:f>IF(B84=2,C84/2,C84)</x:f>
        <x:v>1.8333333730697632</x:v>
      </x:c>
      <x:c r="E84" s="64" t="n">
        <x:v>0</x:v>
      </x:c>
      <x:c r="F84" s="64" t="n">
        <x:v>0</x:v>
      </x:c>
      <x:c r="G84" s="55" t="str">
        <x:v>094052ACh</x:v>
      </x:c>
      <x:c r="H84" s="55" t="str">
        <x:v>00000001h</x:v>
      </x:c>
      <x:c r="I84" s="55" t="str">
        <x:v>3FEAAAABh</x:v>
      </x:c>
      <x:c r="J84" s="55" t="str">
        <x:v>00000000h</x:v>
      </x:c>
      <x:c r="K84" s="55" t="str">
        <x:v>00000000h</x:v>
      </x:c>
      <x:c r="L84" s="61" t="str">
        <x:v>Incinérator — Flamme – voie secondaire</x:v>
      </x:c>
      <x:c r="M84" s="61" t="str">
        <x:v>Élevée</x:v>
      </x:c>
      <x:c r="N84" s="61" t="str">
        <x:v>RAM2.dump / table statique LEVEL_01</x:v>
      </x:c>
    </x:row>
    <x:row r="85">
      <x:c r="A85" s="64" t="n">
        <x:v>79</x:v>
      </x:c>
      <x:c r="B85" s="64" t="n">
        <x:v>1</x:v>
      </x:c>
      <x:c r="C85" s="67" t="n">
        <x:v>2.6666667461395264</x:v>
      </x:c>
      <x:c r="D85" s="67" t="n">
        <x:f>IF(B85=2,C85/2,C85)</x:f>
        <x:v>2.6666667461395264</x:v>
      </x:c>
      <x:c r="E85" s="64" t="n">
        <x:v>0</x:v>
      </x:c>
      <x:c r="F85" s="64" t="n">
        <x:v>0</x:v>
      </x:c>
      <x:c r="G85" s="55" t="str">
        <x:v>094052BCh</x:v>
      </x:c>
      <x:c r="H85" s="55" t="str">
        <x:v>00000001h</x:v>
      </x:c>
      <x:c r="I85" s="55" t="str">
        <x:v>402AAAABh</x:v>
      </x:c>
      <x:c r="J85" s="55" t="str">
        <x:v>00000000h</x:v>
      </x:c>
      <x:c r="K85" s="55" t="str">
        <x:v>00000000h</x:v>
      </x:c>
      <x:c r="L85" s="61" t="str">
        <x:v>Incinérator — Flamme – voie secondaire</x:v>
      </x:c>
      <x:c r="M85" s="61" t="str">
        <x:v>Élevée</x:v>
      </x:c>
      <x:c r="N85" s="61" t="str">
        <x:v>RAM2.dump / table statique LEVEL_01</x:v>
      </x:c>
    </x:row>
    <x:row r="86">
      <x:c r="A86" s="64" t="n">
        <x:v>80</x:v>
      </x:c>
      <x:c r="B86" s="64" t="n">
        <x:v>1</x:v>
      </x:c>
      <x:c r="C86" s="67" t="n">
        <x:v>4.6666669845581055</x:v>
      </x:c>
      <x:c r="D86" s="67" t="n">
        <x:f>IF(B86=2,C86/2,C86)</x:f>
        <x:v>4.6666669845581055</x:v>
      </x:c>
      <x:c r="E86" s="64" t="n">
        <x:v>0</x:v>
      </x:c>
      <x:c r="F86" s="64" t="n">
        <x:v>0</x:v>
      </x:c>
      <x:c r="G86" s="55" t="str">
        <x:v>094052CCh</x:v>
      </x:c>
      <x:c r="H86" s="55" t="str">
        <x:v>00000001h</x:v>
      </x:c>
      <x:c r="I86" s="55" t="str">
        <x:v>40955556h</x:v>
      </x:c>
      <x:c r="J86" s="55" t="str">
        <x:v>00000000h</x:v>
      </x:c>
      <x:c r="K86" s="55" t="str">
        <x:v>00000000h</x:v>
      </x:c>
      <x:c r="L86" s="61" t="str">
        <x:v>Incinérator — Flamme – voie secondaire</x:v>
      </x:c>
      <x:c r="M86" s="61" t="str">
        <x:v>Élevée</x:v>
      </x:c>
      <x:c r="N86" s="61" t="str">
        <x:v>RAM2.dump / table statique LEVEL_01</x:v>
      </x:c>
    </x:row>
    <x:row r="87">
      <x:c r="A87" s="64" t="n">
        <x:v>81</x:v>
      </x:c>
      <x:c r="B87" s="64" t="n">
        <x:v>0</x:v>
      </x:c>
      <x:c r="C87" s="67" t="n">
        <x:v>70</x:v>
      </x:c>
      <x:c r="D87" s="67" t="n">
        <x:f>IF(B87=2,C87/2,C87)</x:f>
        <x:v>70</x:v>
      </x:c>
      <x:c r="E87" s="64" t="n">
        <x:v>1</x:v>
      </x:c>
      <x:c r="F87" s="64" t="n">
        <x:v>3</x:v>
      </x:c>
      <x:c r="G87" s="55" t="str">
        <x:v>094052DCh</x:v>
      </x:c>
      <x:c r="H87" s="55" t="str">
        <x:v>00000000h</x:v>
      </x:c>
      <x:c r="I87" s="55" t="str">
        <x:v>428C0000h</x:v>
      </x:c>
      <x:c r="J87" s="55" t="str">
        <x:v>00000001h</x:v>
      </x:c>
      <x:c r="K87" s="55" t="str">
        <x:v>00000003h</x:v>
      </x:c>
      <x:c r="L87" s="61" t="str">
        <x:v>Bovinator — Transformation / auxiliaires</x:v>
      </x:c>
      <x:c r="M87" s="61" t="str">
        <x:v>Moyenne</x:v>
      </x:c>
      <x:c r="N87" s="61" t="str">
        <x:v>RAM2.dump / table statique LEVEL_01</x:v>
      </x:c>
    </x:row>
    <x:row r="88">
      <x:c r="A88" s="64" t="n">
        <x:v>82</x:v>
      </x:c>
      <x:c r="B88" s="64" t="n">
        <x:v>1</x:v>
      </x:c>
      <x:c r="C88" s="67" t="n">
        <x:v>1</x:v>
      </x:c>
      <x:c r="D88" s="67" t="n">
        <x:f>IF(B88=2,C88/2,C88)</x:f>
        <x:v>1</x:v>
      </x:c>
      <x:c r="E88" s="64" t="n">
        <x:v>0</x:v>
      </x:c>
      <x:c r="F88" s="64" t="n">
        <x:v>0</x:v>
      </x:c>
      <x:c r="G88" s="55" t="str">
        <x:v>094052ECh</x:v>
      </x:c>
      <x:c r="H88" s="55" t="str">
        <x:v>00000001h</x:v>
      </x:c>
      <x:c r="I88" s="55" t="str">
        <x:v>3F800000h</x:v>
      </x:c>
      <x:c r="J88" s="55" t="str">
        <x:v>00000000h</x:v>
      </x:c>
      <x:c r="K88" s="55" t="str">
        <x:v>00000000h</x:v>
      </x:c>
      <x:c r="L88" s="61" t="str">
        <x:v>Bovinator — Transformation / auxiliaires</x:v>
      </x:c>
      <x:c r="M88" s="61" t="str">
        <x:v>Moyenne</x:v>
      </x:c>
      <x:c r="N88" s="61" t="str">
        <x:v>RAM2.dump / table statique LEVEL_01</x:v>
      </x:c>
    </x:row>
    <x:row r="89">
      <x:c r="A89" s="64" t="n">
        <x:v>83</x:v>
      </x:c>
      <x:c r="B89" s="64" t="n">
        <x:v>0</x:v>
      </x:c>
      <x:c r="C89" s="67" t="n">
        <x:v>0</x:v>
      </x:c>
      <x:c r="D89" s="67" t="n">
        <x:f>IF(B89=2,C89/2,C89)</x:f>
        <x:v>0</x:v>
      </x:c>
      <x:c r="E89" s="64" t="n">
        <x:v>10</x:v>
      </x:c>
      <x:c r="F89" s="64" t="n">
        <x:v>1</x:v>
      </x:c>
      <x:c r="G89" s="55" t="str">
        <x:v>094052FCh</x:v>
      </x:c>
      <x:c r="H89" s="55" t="str">
        <x:v>00000000h</x:v>
      </x:c>
      <x:c r="I89" s="55" t="str">
        <x:v>00000000h</x:v>
      </x:c>
      <x:c r="J89" s="55" t="str">
        <x:v>0000000Ah</x:v>
      </x:c>
      <x:c r="K89" s="55" t="str">
        <x:v>00000001h</x:v>
      </x:c>
      <x:c r="L89" s="61" t="str">
        <x:v>Bovinator — Transformation / auxiliaires</x:v>
      </x:c>
      <x:c r="M89" s="61" t="str">
        <x:v>Moyenne</x:v>
      </x:c>
      <x:c r="N89" s="61" t="str">
        <x:v>RAM2.dump / table statique LEVEL_01</x:v>
      </x:c>
    </x:row>
    <x:row r="90">
      <x:c r="A90" s="64" t="n">
        <x:v>84</x:v>
      </x:c>
      <x:c r="B90" s="64" t="n">
        <x:v>0</x:v>
      </x:c>
      <x:c r="C90" s="67" t="n">
        <x:v>12</x:v>
      </x:c>
      <x:c r="D90" s="67" t="n">
        <x:f>IF(B90=2,C90/2,C90)</x:f>
        <x:v>12</x:v>
      </x:c>
      <x:c r="E90" s="64" t="n">
        <x:v>0</x:v>
      </x:c>
      <x:c r="F90" s="64" t="n">
        <x:v>3</x:v>
      </x:c>
      <x:c r="G90" s="55" t="str">
        <x:v>0940530Ch</x:v>
      </x:c>
      <x:c r="H90" s="55" t="str">
        <x:v>00000000h</x:v>
      </x:c>
      <x:c r="I90" s="55" t="str">
        <x:v>41400000h</x:v>
      </x:c>
      <x:c r="J90" s="55" t="str">
        <x:v>00000000h</x:v>
      </x:c>
      <x:c r="K90" s="55" t="str">
        <x:v>00000003h</x:v>
      </x:c>
      <x:c r="L90" s="61" t="str">
        <x:v>Bovinator — Transformation / auxiliaires</x:v>
      </x:c>
      <x:c r="M90" s="61" t="str">
        <x:v>Moyenne</x:v>
      </x:c>
      <x:c r="N90" s="61" t="str">
        <x:v>RAM2.dump / table statique LEVEL_01</x:v>
      </x:c>
    </x:row>
    <x:row r="91">
      <x:c r="A91" s="64" t="n">
        <x:v>85</x:v>
      </x:c>
      <x:c r="B91" s="64" t="n">
        <x:v>0</x:v>
      </x:c>
      <x:c r="C91" s="67" t="n">
        <x:v>24</x:v>
      </x:c>
      <x:c r="D91" s="67" t="n">
        <x:f>IF(B91=2,C91/2,C91)</x:f>
        <x:v>24</x:v>
      </x:c>
      <x:c r="E91" s="64" t="n">
        <x:v>0</x:v>
      </x:c>
      <x:c r="F91" s="64" t="n">
        <x:v>1</x:v>
      </x:c>
      <x:c r="G91" s="55" t="str">
        <x:v>0940531Ch</x:v>
      </x:c>
      <x:c r="H91" s="55" t="str">
        <x:v>00000000h</x:v>
      </x:c>
      <x:c r="I91" s="55" t="str">
        <x:v>41C00000h</x:v>
      </x:c>
      <x:c r="J91" s="55" t="str">
        <x:v>00000000h</x:v>
      </x:c>
      <x:c r="K91" s="55" t="str">
        <x:v>00000001h</x:v>
      </x:c>
      <x:c r="L91" s="61" t="str">
        <x:v>Roquette Éclair — Impact / explosion A</x:v>
      </x:c>
      <x:c r="M91" s="61" t="str">
        <x:v>Élevée</x:v>
      </x:c>
      <x:c r="N91" s="61" t="str">
        <x:v>RAM2.dump / table statique LEVEL_01</x:v>
      </x:c>
    </x:row>
    <x:row r="92">
      <x:c r="A92" s="64" t="n">
        <x:v>86</x:v>
      </x:c>
      <x:c r="B92" s="64" t="n">
        <x:v>0</x:v>
      </x:c>
      <x:c r="C92" s="67" t="n">
        <x:v>32</x:v>
      </x:c>
      <x:c r="D92" s="67" t="n">
        <x:f>IF(B92=2,C92/2,C92)</x:f>
        <x:v>32</x:v>
      </x:c>
      <x:c r="E92" s="64" t="n">
        <x:v>0</x:v>
      </x:c>
      <x:c r="F92" s="64" t="n">
        <x:v>1</x:v>
      </x:c>
      <x:c r="G92" s="55" t="str">
        <x:v>0940532Ch</x:v>
      </x:c>
      <x:c r="H92" s="55" t="str">
        <x:v>00000000h</x:v>
      </x:c>
      <x:c r="I92" s="55" t="str">
        <x:v>42000000h</x:v>
      </x:c>
      <x:c r="J92" s="55" t="str">
        <x:v>00000000h</x:v>
      </x:c>
      <x:c r="K92" s="55" t="str">
        <x:v>00000001h</x:v>
      </x:c>
      <x:c r="L92" s="61" t="str">
        <x:v>Roquette Éclair — Impact / explosion A</x:v>
      </x:c>
      <x:c r="M92" s="61" t="str">
        <x:v>Élevée</x:v>
      </x:c>
      <x:c r="N92" s="61" t="str">
        <x:v>RAM2.dump / table statique LEVEL_01</x:v>
      </x:c>
    </x:row>
    <x:row r="93">
      <x:c r="A93" s="64" t="n">
        <x:v>87</x:v>
      </x:c>
      <x:c r="B93" s="64" t="n">
        <x:v>0</x:v>
      </x:c>
      <x:c r="C93" s="67" t="n">
        <x:v>45</x:v>
      </x:c>
      <x:c r="D93" s="67" t="n">
        <x:f>IF(B93=2,C93/2,C93)</x:f>
        <x:v>45</x:v>
      </x:c>
      <x:c r="E93" s="64" t="n">
        <x:v>0</x:v>
      </x:c>
      <x:c r="F93" s="64" t="n">
        <x:v>1</x:v>
      </x:c>
      <x:c r="G93" s="55" t="str">
        <x:v>0940533Ch</x:v>
      </x:c>
      <x:c r="H93" s="55" t="str">
        <x:v>00000000h</x:v>
      </x:c>
      <x:c r="I93" s="55" t="str">
        <x:v>42340000h</x:v>
      </x:c>
      <x:c r="J93" s="55" t="str">
        <x:v>00000000h</x:v>
      </x:c>
      <x:c r="K93" s="55" t="str">
        <x:v>00000001h</x:v>
      </x:c>
      <x:c r="L93" s="61" t="str">
        <x:v>Roquette Éclair — Impact / explosion A</x:v>
      </x:c>
      <x:c r="M93" s="61" t="str">
        <x:v>Élevée</x:v>
      </x:c>
      <x:c r="N93" s="61" t="str">
        <x:v>RAM2.dump / table statique LEVEL_01</x:v>
      </x:c>
    </x:row>
    <x:row r="94">
      <x:c r="A94" s="64" t="n">
        <x:v>88</x:v>
      </x:c>
      <x:c r="B94" s="64" t="n">
        <x:v>0</x:v>
      </x:c>
      <x:c r="C94" s="67" t="n">
        <x:v>60</x:v>
      </x:c>
      <x:c r="D94" s="67" t="n">
        <x:f>IF(B94=2,C94/2,C94)</x:f>
        <x:v>60</x:v>
      </x:c>
      <x:c r="E94" s="64" t="n">
        <x:v>0</x:v>
      </x:c>
      <x:c r="F94" s="64" t="n">
        <x:v>1</x:v>
      </x:c>
      <x:c r="G94" s="55" t="str">
        <x:v>0940534Ch</x:v>
      </x:c>
      <x:c r="H94" s="55" t="str">
        <x:v>00000000h</x:v>
      </x:c>
      <x:c r="I94" s="55" t="str">
        <x:v>42700000h</x:v>
      </x:c>
      <x:c r="J94" s="55" t="str">
        <x:v>00000000h</x:v>
      </x:c>
      <x:c r="K94" s="55" t="str">
        <x:v>00000001h</x:v>
      </x:c>
      <x:c r="L94" s="61" t="str">
        <x:v>Roquette Éclair — Impact / explosion A</x:v>
      </x:c>
      <x:c r="M94" s="61" t="str">
        <x:v>Élevée</x:v>
      </x:c>
      <x:c r="N94" s="61" t="str">
        <x:v>RAM2.dump / table statique LEVEL_01</x:v>
      </x:c>
    </x:row>
    <x:row r="95">
      <x:c r="A95" s="64" t="n">
        <x:v>89</x:v>
      </x:c>
      <x:c r="B95" s="64" t="n">
        <x:v>0</x:v>
      </x:c>
      <x:c r="C95" s="67" t="n">
        <x:v>85</x:v>
      </x:c>
      <x:c r="D95" s="67" t="n">
        <x:f>IF(B95=2,C95/2,C95)</x:f>
        <x:v>85</x:v>
      </x:c>
      <x:c r="E95" s="64" t="n">
        <x:v>0</x:v>
      </x:c>
      <x:c r="F95" s="64" t="n">
        <x:v>1</x:v>
      </x:c>
      <x:c r="G95" s="55" t="str">
        <x:v>0940535Ch</x:v>
      </x:c>
      <x:c r="H95" s="55" t="str">
        <x:v>00000000h</x:v>
      </x:c>
      <x:c r="I95" s="55" t="str">
        <x:v>42AA0000h</x:v>
      </x:c>
      <x:c r="J95" s="55" t="str">
        <x:v>00000000h</x:v>
      </x:c>
      <x:c r="K95" s="55" t="str">
        <x:v>00000001h</x:v>
      </x:c>
      <x:c r="L95" s="61" t="str">
        <x:v>Roquette Éclair — Impact / explosion A</x:v>
      </x:c>
      <x:c r="M95" s="61" t="str">
        <x:v>Élevée</x:v>
      </x:c>
      <x:c r="N95" s="61" t="str">
        <x:v>RAM2.dump / table statique LEVEL_01</x:v>
      </x:c>
    </x:row>
    <x:row r="96">
      <x:c r="A96" s="64" t="n">
        <x:v>90</x:v>
      </x:c>
      <x:c r="B96" s="64" t="n">
        <x:v>0</x:v>
      </x:c>
      <x:c r="C96" s="67" t="n">
        <x:v>120</x:v>
      </x:c>
      <x:c r="D96" s="67" t="n">
        <x:f>IF(B96=2,C96/2,C96)</x:f>
        <x:v>120</x:v>
      </x:c>
      <x:c r="E96" s="64" t="n">
        <x:v>0</x:v>
      </x:c>
      <x:c r="F96" s="64" t="n">
        <x:v>1</x:v>
      </x:c>
      <x:c r="G96" s="55" t="str">
        <x:v>0940536Ch</x:v>
      </x:c>
      <x:c r="H96" s="55" t="str">
        <x:v>00000000h</x:v>
      </x:c>
      <x:c r="I96" s="55" t="str">
        <x:v>42F00000h</x:v>
      </x:c>
      <x:c r="J96" s="55" t="str">
        <x:v>00000000h</x:v>
      </x:c>
      <x:c r="K96" s="55" t="str">
        <x:v>00000001h</x:v>
      </x:c>
      <x:c r="L96" s="61" t="str">
        <x:v>Roquette Éclair — Impact / explosion A</x:v>
      </x:c>
      <x:c r="M96" s="61" t="str">
        <x:v>Élevée</x:v>
      </x:c>
      <x:c r="N96" s="61" t="str">
        <x:v>RAM2.dump / table statique LEVEL_01</x:v>
      </x:c>
    </x:row>
    <x:row r="97">
      <x:c r="A97" s="64" t="n">
        <x:v>91</x:v>
      </x:c>
      <x:c r="B97" s="64" t="n">
        <x:v>0</x:v>
      </x:c>
      <x:c r="C97" s="67" t="n">
        <x:v>170</x:v>
      </x:c>
      <x:c r="D97" s="67" t="n">
        <x:f>IF(B97=2,C97/2,C97)</x:f>
        <x:v>170</x:v>
      </x:c>
      <x:c r="E97" s="64" t="n">
        <x:v>0</x:v>
      </x:c>
      <x:c r="F97" s="64" t="n">
        <x:v>1</x:v>
      </x:c>
      <x:c r="G97" s="55" t="str">
        <x:v>0940537Ch</x:v>
      </x:c>
      <x:c r="H97" s="55" t="str">
        <x:v>00000000h</x:v>
      </x:c>
      <x:c r="I97" s="55" t="str">
        <x:v>432A0000h</x:v>
      </x:c>
      <x:c r="J97" s="55" t="str">
        <x:v>00000000h</x:v>
      </x:c>
      <x:c r="K97" s="55" t="str">
        <x:v>00000001h</x:v>
      </x:c>
      <x:c r="L97" s="61" t="str">
        <x:v>Roquette Éclair — Impact / explosion A</x:v>
      </x:c>
      <x:c r="M97" s="61" t="str">
        <x:v>Élevée</x:v>
      </x:c>
      <x:c r="N97" s="61" t="str">
        <x:v>RAM2.dump / table statique LEVEL_01</x:v>
      </x:c>
    </x:row>
    <x:row r="98">
      <x:c r="A98" s="64" t="n">
        <x:v>92</x:v>
      </x:c>
      <x:c r="B98" s="64" t="n">
        <x:v>0</x:v>
      </x:c>
      <x:c r="C98" s="67" t="n">
        <x:v>250</x:v>
      </x:c>
      <x:c r="D98" s="67" t="n">
        <x:f>IF(B98=2,C98/2,C98)</x:f>
        <x:v>250</x:v>
      </x:c>
      <x:c r="E98" s="64" t="n">
        <x:v>0</x:v>
      </x:c>
      <x:c r="F98" s="64" t="n">
        <x:v>1</x:v>
      </x:c>
      <x:c r="G98" s="55" t="str">
        <x:v>0940538Ch</x:v>
      </x:c>
      <x:c r="H98" s="55" t="str">
        <x:v>00000000h</x:v>
      </x:c>
      <x:c r="I98" s="55" t="str">
        <x:v>437A0000h</x:v>
      </x:c>
      <x:c r="J98" s="55" t="str">
        <x:v>00000000h</x:v>
      </x:c>
      <x:c r="K98" s="55" t="str">
        <x:v>00000001h</x:v>
      </x:c>
      <x:c r="L98" s="61" t="str">
        <x:v>Roquette Éclair — Impact / explosion A</x:v>
      </x:c>
      <x:c r="M98" s="61" t="str">
        <x:v>Élevée</x:v>
      </x:c>
      <x:c r="N98" s="61" t="str">
        <x:v>RAM2.dump / table statique LEVEL_01</x:v>
      </x:c>
    </x:row>
    <x:row r="99">
      <x:c r="A99" s="64" t="n">
        <x:v>93</x:v>
      </x:c>
      <x:c r="B99" s="64" t="n">
        <x:v>0</x:v>
      </x:c>
      <x:c r="C99" s="67" t="n">
        <x:v>48</x:v>
      </x:c>
      <x:c r="D99" s="67" t="n">
        <x:f>IF(B99=2,C99/2,C99)</x:f>
        <x:v>48</x:v>
      </x:c>
      <x:c r="E99" s="64" t="n">
        <x:v>1</x:v>
      </x:c>
      <x:c r="F99" s="64" t="n">
        <x:v>2</x:v>
      </x:c>
      <x:c r="G99" s="55" t="str">
        <x:v>0940539Ch</x:v>
      </x:c>
      <x:c r="H99" s="55" t="str">
        <x:v>00000000h</x:v>
      </x:c>
      <x:c r="I99" s="55" t="str">
        <x:v>42400000h</x:v>
      </x:c>
      <x:c r="J99" s="55" t="str">
        <x:v>00000001h</x:v>
      </x:c>
      <x:c r="K99" s="55" t="str">
        <x:v>00000002h</x:v>
      </x:c>
      <x:c r="L99" s="61" t="str">
        <x:v>Roquette Éclair — Impact / explosion B</x:v>
      </x:c>
      <x:c r="M99" s="61" t="str">
        <x:v>Élevée</x:v>
      </x:c>
      <x:c r="N99" s="61" t="str">
        <x:v>RAM2.dump / table statique LEVEL_01</x:v>
      </x:c>
    </x:row>
    <x:row r="100">
      <x:c r="A100" s="64" t="n">
        <x:v>94</x:v>
      </x:c>
      <x:c r="B100" s="64" t="n">
        <x:v>0</x:v>
      </x:c>
      <x:c r="C100" s="67" t="n">
        <x:v>32</x:v>
      </x:c>
      <x:c r="D100" s="67" t="n">
        <x:f>IF(B100=2,C100/2,C100)</x:f>
        <x:v>32</x:v>
      </x:c>
      <x:c r="E100" s="64" t="n">
        <x:v>1</x:v>
      </x:c>
      <x:c r="F100" s="64" t="n">
        <x:v>2</x:v>
      </x:c>
      <x:c r="G100" s="55" t="str">
        <x:v>094053ACh</x:v>
      </x:c>
      <x:c r="H100" s="55" t="str">
        <x:v>00000000h</x:v>
      </x:c>
      <x:c r="I100" s="55" t="str">
        <x:v>42000000h</x:v>
      </x:c>
      <x:c r="J100" s="55" t="str">
        <x:v>00000001h</x:v>
      </x:c>
      <x:c r="K100" s="55" t="str">
        <x:v>00000002h</x:v>
      </x:c>
      <x:c r="L100" s="61" t="str">
        <x:v>Roquette Éclair — Impact / explosion B</x:v>
      </x:c>
      <x:c r="M100" s="61" t="str">
        <x:v>Élevée</x:v>
      </x:c>
      <x:c r="N100" s="61" t="str">
        <x:v>RAM2.dump / table statique LEVEL_01</x:v>
      </x:c>
    </x:row>
    <x:row r="101">
      <x:c r="A101" s="64" t="n">
        <x:v>95</x:v>
      </x:c>
      <x:c r="B101" s="64" t="n">
        <x:v>0</x:v>
      </x:c>
      <x:c r="C101" s="67" t="n">
        <x:v>45</x:v>
      </x:c>
      <x:c r="D101" s="67" t="n">
        <x:f>IF(B101=2,C101/2,C101)</x:f>
        <x:v>45</x:v>
      </x:c>
      <x:c r="E101" s="64" t="n">
        <x:v>1</x:v>
      </x:c>
      <x:c r="F101" s="64" t="n">
        <x:v>2</x:v>
      </x:c>
      <x:c r="G101" s="55" t="str">
        <x:v>094053BCh</x:v>
      </x:c>
      <x:c r="H101" s="55" t="str">
        <x:v>00000000h</x:v>
      </x:c>
      <x:c r="I101" s="55" t="str">
        <x:v>42340000h</x:v>
      </x:c>
      <x:c r="J101" s="55" t="str">
        <x:v>00000001h</x:v>
      </x:c>
      <x:c r="K101" s="55" t="str">
        <x:v>00000002h</x:v>
      </x:c>
      <x:c r="L101" s="61" t="str">
        <x:v>Roquette Éclair — Impact / explosion B</x:v>
      </x:c>
      <x:c r="M101" s="61" t="str">
        <x:v>Élevée</x:v>
      </x:c>
      <x:c r="N101" s="61" t="str">
        <x:v>RAM2.dump / table statique LEVEL_01</x:v>
      </x:c>
    </x:row>
    <x:row r="102">
      <x:c r="A102" s="64" t="n">
        <x:v>96</x:v>
      </x:c>
      <x:c r="B102" s="64" t="n">
        <x:v>0</x:v>
      </x:c>
      <x:c r="C102" s="67" t="n">
        <x:v>60</x:v>
      </x:c>
      <x:c r="D102" s="67" t="n">
        <x:f>IF(B102=2,C102/2,C102)</x:f>
        <x:v>60</x:v>
      </x:c>
      <x:c r="E102" s="64" t="n">
        <x:v>1</x:v>
      </x:c>
      <x:c r="F102" s="64" t="n">
        <x:v>2</x:v>
      </x:c>
      <x:c r="G102" s="55" t="str">
        <x:v>094053CCh</x:v>
      </x:c>
      <x:c r="H102" s="55" t="str">
        <x:v>00000000h</x:v>
      </x:c>
      <x:c r="I102" s="55" t="str">
        <x:v>42700000h</x:v>
      </x:c>
      <x:c r="J102" s="55" t="str">
        <x:v>00000001h</x:v>
      </x:c>
      <x:c r="K102" s="55" t="str">
        <x:v>00000002h</x:v>
      </x:c>
      <x:c r="L102" s="61" t="str">
        <x:v>Roquette Éclair — Impact / explosion B</x:v>
      </x:c>
      <x:c r="M102" s="61" t="str">
        <x:v>Élevée</x:v>
      </x:c>
      <x:c r="N102" s="61" t="str">
        <x:v>RAM2.dump / table statique LEVEL_01</x:v>
      </x:c>
    </x:row>
    <x:row r="103">
      <x:c r="A103" s="64" t="n">
        <x:v>97</x:v>
      </x:c>
      <x:c r="B103" s="64" t="n">
        <x:v>0</x:v>
      </x:c>
      <x:c r="C103" s="67" t="n">
        <x:v>85</x:v>
      </x:c>
      <x:c r="D103" s="67" t="n">
        <x:f>IF(B103=2,C103/2,C103)</x:f>
        <x:v>85</x:v>
      </x:c>
      <x:c r="E103" s="64" t="n">
        <x:v>1</x:v>
      </x:c>
      <x:c r="F103" s="64" t="n">
        <x:v>2</x:v>
      </x:c>
      <x:c r="G103" s="55" t="str">
        <x:v>094053DCh</x:v>
      </x:c>
      <x:c r="H103" s="55" t="str">
        <x:v>00000000h</x:v>
      </x:c>
      <x:c r="I103" s="55" t="str">
        <x:v>42AA0000h</x:v>
      </x:c>
      <x:c r="J103" s="55" t="str">
        <x:v>00000001h</x:v>
      </x:c>
      <x:c r="K103" s="55" t="str">
        <x:v>00000002h</x:v>
      </x:c>
      <x:c r="L103" s="61" t="str">
        <x:v>Roquette Éclair — Impact / explosion B</x:v>
      </x:c>
      <x:c r="M103" s="61" t="str">
        <x:v>Élevée</x:v>
      </x:c>
      <x:c r="N103" s="61" t="str">
        <x:v>RAM2.dump / table statique LEVEL_01</x:v>
      </x:c>
    </x:row>
    <x:row r="104">
      <x:c r="A104" s="64" t="n">
        <x:v>98</x:v>
      </x:c>
      <x:c r="B104" s="64" t="n">
        <x:v>0</x:v>
      </x:c>
      <x:c r="C104" s="67" t="n">
        <x:v>120</x:v>
      </x:c>
      <x:c r="D104" s="67" t="n">
        <x:f>IF(B104=2,C104/2,C104)</x:f>
        <x:v>120</x:v>
      </x:c>
      <x:c r="E104" s="64" t="n">
        <x:v>1</x:v>
      </x:c>
      <x:c r="F104" s="64" t="n">
        <x:v>2</x:v>
      </x:c>
      <x:c r="G104" s="55" t="str">
        <x:v>094053ECh</x:v>
      </x:c>
      <x:c r="H104" s="55" t="str">
        <x:v>00000000h</x:v>
      </x:c>
      <x:c r="I104" s="55" t="str">
        <x:v>42F00000h</x:v>
      </x:c>
      <x:c r="J104" s="55" t="str">
        <x:v>00000001h</x:v>
      </x:c>
      <x:c r="K104" s="55" t="str">
        <x:v>00000002h</x:v>
      </x:c>
      <x:c r="L104" s="61" t="str">
        <x:v>Roquette Éclair — Impact / explosion B</x:v>
      </x:c>
      <x:c r="M104" s="61" t="str">
        <x:v>Élevée</x:v>
      </x:c>
      <x:c r="N104" s="61" t="str">
        <x:v>RAM2.dump / table statique LEVEL_01</x:v>
      </x:c>
    </x:row>
    <x:row r="105">
      <x:c r="A105" s="64" t="n">
        <x:v>99</x:v>
      </x:c>
      <x:c r="B105" s="64" t="n">
        <x:v>0</x:v>
      </x:c>
      <x:c r="C105" s="67" t="n">
        <x:v>170</x:v>
      </x:c>
      <x:c r="D105" s="67" t="n">
        <x:f>IF(B105=2,C105/2,C105)</x:f>
        <x:v>170</x:v>
      </x:c>
      <x:c r="E105" s="64" t="n">
        <x:v>1</x:v>
      </x:c>
      <x:c r="F105" s="64" t="n">
        <x:v>2</x:v>
      </x:c>
      <x:c r="G105" s="55" t="str">
        <x:v>094053FCh</x:v>
      </x:c>
      <x:c r="H105" s="55" t="str">
        <x:v>00000000h</x:v>
      </x:c>
      <x:c r="I105" s="55" t="str">
        <x:v>432A0000h</x:v>
      </x:c>
      <x:c r="J105" s="55" t="str">
        <x:v>00000001h</x:v>
      </x:c>
      <x:c r="K105" s="55" t="str">
        <x:v>00000002h</x:v>
      </x:c>
      <x:c r="L105" s="61" t="str">
        <x:v>Roquette Éclair — Impact / explosion B</x:v>
      </x:c>
      <x:c r="M105" s="61" t="str">
        <x:v>Élevée</x:v>
      </x:c>
      <x:c r="N105" s="61" t="str">
        <x:v>RAM2.dump / table statique LEVEL_01</x:v>
      </x:c>
    </x:row>
    <x:row r="106">
      <x:c r="A106" s="64" t="n">
        <x:v>100</x:v>
      </x:c>
      <x:c r="B106" s="64" t="n">
        <x:v>0</x:v>
      </x:c>
      <x:c r="C106" s="67" t="n">
        <x:v>250</x:v>
      </x:c>
      <x:c r="D106" s="67" t="n">
        <x:f>IF(B106=2,C106/2,C106)</x:f>
        <x:v>250</x:v>
      </x:c>
      <x:c r="E106" s="64" t="n">
        <x:v>1</x:v>
      </x:c>
      <x:c r="F106" s="64" t="n">
        <x:v>2</x:v>
      </x:c>
      <x:c r="G106" s="55" t="str">
        <x:v>0940540Ch</x:v>
      </x:c>
      <x:c r="H106" s="55" t="str">
        <x:v>00000000h</x:v>
      </x:c>
      <x:c r="I106" s="55" t="str">
        <x:v>437A0000h</x:v>
      </x:c>
      <x:c r="J106" s="55" t="str">
        <x:v>00000001h</x:v>
      </x:c>
      <x:c r="K106" s="55" t="str">
        <x:v>00000002h</x:v>
      </x:c>
      <x:c r="L106" s="61" t="str">
        <x:v>Roquette Éclair — Impact / explosion B</x:v>
      </x:c>
      <x:c r="M106" s="61" t="str">
        <x:v>Élevée</x:v>
      </x:c>
      <x:c r="N106" s="61" t="str">
        <x:v>RAM2.dump / table statique LEVEL_01</x:v>
      </x:c>
    </x:row>
    <x:row r="107">
      <x:c r="A107" s="64" t="n">
        <x:v>101</x:v>
      </x:c>
      <x:c r="B107" s="64" t="n">
        <x:v>0</x:v>
      </x:c>
      <x:c r="C107" s="67" t="n">
        <x:v>3.5999999046325684</x:v>
      </x:c>
      <x:c r="D107" s="67" t="n">
        <x:f>IF(B107=2,C107/2,C107)</x:f>
        <x:v>3.5999999046325684</x:v>
      </x:c>
      <x:c r="E107" s="64" t="n">
        <x:v>0</x:v>
      </x:c>
      <x:c r="F107" s="64" t="n">
        <x:v>0</x:v>
      </x:c>
      <x:c r="G107" s="55" t="str">
        <x:v>0940541Ch</x:v>
      </x:c>
      <x:c r="H107" s="55" t="str">
        <x:v>00000000h</x:v>
      </x:c>
      <x:c r="I107" s="55" t="str">
        <x:v>40666666h</x:v>
      </x:c>
      <x:c r="J107" s="55" t="str">
        <x:v>00000000h</x:v>
      </x:c>
      <x:c r="K107" s="55" t="str">
        <x:v>00000000h</x:v>
      </x:c>
      <x:c r="L107" s="61" t="str">
        <x:v>Roquette Éclair — Branche additionnelle</x:v>
      </x:c>
      <x:c r="M107" s="61" t="str">
        <x:v>Moyenne</x:v>
      </x:c>
      <x:c r="N107" s="61" t="str">
        <x:v>RAM2.dump / table statique LEVEL_01</x:v>
      </x:c>
    </x:row>
    <x:row r="108">
      <x:c r="A108" s="64" t="n">
        <x:v>102</x:v>
      </x:c>
      <x:c r="B108" s="64" t="n">
        <x:v>0</x:v>
      </x:c>
      <x:c r="C108" s="67" t="n">
        <x:v>4.800000190734863</x:v>
      </x:c>
      <x:c r="D108" s="67" t="n">
        <x:f>IF(B108=2,C108/2,C108)</x:f>
        <x:v>4.800000190734863</x:v>
      </x:c>
      <x:c r="E108" s="64" t="n">
        <x:v>0</x:v>
      </x:c>
      <x:c r="F108" s="64" t="n">
        <x:v>0</x:v>
      </x:c>
      <x:c r="G108" s="55" t="str">
        <x:v>0940542Ch</x:v>
      </x:c>
      <x:c r="H108" s="55" t="str">
        <x:v>00000000h</x:v>
      </x:c>
      <x:c r="I108" s="55" t="str">
        <x:v>4099999Ah</x:v>
      </x:c>
      <x:c r="J108" s="55" t="str">
        <x:v>00000000h</x:v>
      </x:c>
      <x:c r="K108" s="55" t="str">
        <x:v>00000000h</x:v>
      </x:c>
      <x:c r="L108" s="61" t="str">
        <x:v>Roquette Éclair — Branche additionnelle</x:v>
      </x:c>
      <x:c r="M108" s="61" t="str">
        <x:v>Moyenne</x:v>
      </x:c>
      <x:c r="N108" s="61" t="str">
        <x:v>RAM2.dump / table statique LEVEL_01</x:v>
      </x:c>
    </x:row>
    <x:row r="109">
      <x:c r="A109" s="64" t="n">
        <x:v>103</x:v>
      </x:c>
      <x:c r="B109" s="64" t="n">
        <x:v>0</x:v>
      </x:c>
      <x:c r="C109" s="67" t="n">
        <x:v>6</x:v>
      </x:c>
      <x:c r="D109" s="67" t="n">
        <x:f>IF(B109=2,C109/2,C109)</x:f>
        <x:v>6</x:v>
      </x:c>
      <x:c r="E109" s="64" t="n">
        <x:v>0</x:v>
      </x:c>
      <x:c r="F109" s="64" t="n">
        <x:v>0</x:v>
      </x:c>
      <x:c r="G109" s="55" t="str">
        <x:v>0940543Ch</x:v>
      </x:c>
      <x:c r="H109" s="55" t="str">
        <x:v>00000000h</x:v>
      </x:c>
      <x:c r="I109" s="55" t="str">
        <x:v>40C00000h</x:v>
      </x:c>
      <x:c r="J109" s="55" t="str">
        <x:v>00000000h</x:v>
      </x:c>
      <x:c r="K109" s="55" t="str">
        <x:v>00000000h</x:v>
      </x:c>
      <x:c r="L109" s="61" t="str">
        <x:v>Roquette Éclair — Branche additionnelle</x:v>
      </x:c>
      <x:c r="M109" s="61" t="str">
        <x:v>Moyenne</x:v>
      </x:c>
      <x:c r="N109" s="61" t="str">
        <x:v>RAM2.dump / table statique LEVEL_01</x:v>
      </x:c>
    </x:row>
    <x:row r="110">
      <x:c r="A110" s="64" t="n">
        <x:v>104</x:v>
      </x:c>
      <x:c r="B110" s="64" t="n">
        <x:v>0</x:v>
      </x:c>
      <x:c r="C110" s="67" t="n">
        <x:v>7.5</x:v>
      </x:c>
      <x:c r="D110" s="67" t="n">
        <x:f>IF(B110=2,C110/2,C110)</x:f>
        <x:v>7.5</x:v>
      </x:c>
      <x:c r="E110" s="64" t="n">
        <x:v>0</x:v>
      </x:c>
      <x:c r="F110" s="64" t="n">
        <x:v>0</x:v>
      </x:c>
      <x:c r="G110" s="55" t="str">
        <x:v>0940544Ch</x:v>
      </x:c>
      <x:c r="H110" s="55" t="str">
        <x:v>00000000h</x:v>
      </x:c>
      <x:c r="I110" s="55" t="str">
        <x:v>40F00000h</x:v>
      </x:c>
      <x:c r="J110" s="55" t="str">
        <x:v>00000000h</x:v>
      </x:c>
      <x:c r="K110" s="55" t="str">
        <x:v>00000000h</x:v>
      </x:c>
      <x:c r="L110" s="61" t="str">
        <x:v>Roquette Éclair — Branche additionnelle</x:v>
      </x:c>
      <x:c r="M110" s="61" t="str">
        <x:v>Moyenne</x:v>
      </x:c>
      <x:c r="N110" s="61" t="str">
        <x:v>RAM2.dump / table statique LEVEL_01</x:v>
      </x:c>
    </x:row>
    <x:row r="111">
      <x:c r="A111" s="64" t="n">
        <x:v>105</x:v>
      </x:c>
      <x:c r="B111" s="64" t="n">
        <x:v>0</x:v>
      </x:c>
      <x:c r="C111" s="67" t="n">
        <x:v>10.5</x:v>
      </x:c>
      <x:c r="D111" s="67" t="n">
        <x:f>IF(B111=2,C111/2,C111)</x:f>
        <x:v>10.5</x:v>
      </x:c>
      <x:c r="E111" s="64" t="n">
        <x:v>0</x:v>
      </x:c>
      <x:c r="F111" s="64" t="n">
        <x:v>0</x:v>
      </x:c>
      <x:c r="G111" s="55" t="str">
        <x:v>0940545Ch</x:v>
      </x:c>
      <x:c r="H111" s="55" t="str">
        <x:v>00000000h</x:v>
      </x:c>
      <x:c r="I111" s="55" t="str">
        <x:v>41280000h</x:v>
      </x:c>
      <x:c r="J111" s="55" t="str">
        <x:v>00000000h</x:v>
      </x:c>
      <x:c r="K111" s="55" t="str">
        <x:v>00000000h</x:v>
      </x:c>
      <x:c r="L111" s="61" t="str">
        <x:v>Roquette Éclair — Branche additionnelle</x:v>
      </x:c>
      <x:c r="M111" s="61" t="str">
        <x:v>Moyenne</x:v>
      </x:c>
      <x:c r="N111" s="61" t="str">
        <x:v>RAM2.dump / table statique LEVEL_01</x:v>
      </x:c>
    </x:row>
    <x:row r="112">
      <x:c r="A112" s="64" t="n">
        <x:v>106</x:v>
      </x:c>
      <x:c r="B112" s="64" t="n">
        <x:v>0</x:v>
      </x:c>
      <x:c r="C112" s="67" t="n">
        <x:v>15</x:v>
      </x:c>
      <x:c r="D112" s="67" t="n">
        <x:f>IF(B112=2,C112/2,C112)</x:f>
        <x:v>15</x:v>
      </x:c>
      <x:c r="E112" s="64" t="n">
        <x:v>0</x:v>
      </x:c>
      <x:c r="F112" s="64" t="n">
        <x:v>0</x:v>
      </x:c>
      <x:c r="G112" s="55" t="str">
        <x:v>0940546Ch</x:v>
      </x:c>
      <x:c r="H112" s="55" t="str">
        <x:v>00000000h</x:v>
      </x:c>
      <x:c r="I112" s="55" t="str">
        <x:v>41700000h</x:v>
      </x:c>
      <x:c r="J112" s="55" t="str">
        <x:v>00000000h</x:v>
      </x:c>
      <x:c r="K112" s="55" t="str">
        <x:v>00000000h</x:v>
      </x:c>
      <x:c r="L112" s="61" t="str">
        <x:v>Roquette Éclair — Branche additionnelle</x:v>
      </x:c>
      <x:c r="M112" s="61" t="str">
        <x:v>Moyenne</x:v>
      </x:c>
      <x:c r="N112" s="61" t="str">
        <x:v>RAM2.dump / table statique LEVEL_01</x:v>
      </x:c>
    </x:row>
    <x:row r="113">
      <x:c r="A113" s="64" t="n">
        <x:v>107</x:v>
      </x:c>
      <x:c r="B113" s="64" t="n">
        <x:v>0</x:v>
      </x:c>
      <x:c r="C113" s="67" t="n">
        <x:v>22</x:v>
      </x:c>
      <x:c r="D113" s="67" t="n">
        <x:f>IF(B113=2,C113/2,C113)</x:f>
        <x:v>22</x:v>
      </x:c>
      <x:c r="E113" s="64" t="n">
        <x:v>0</x:v>
      </x:c>
      <x:c r="F113" s="64" t="n">
        <x:v>0</x:v>
      </x:c>
      <x:c r="G113" s="55" t="str">
        <x:v>0940547Ch</x:v>
      </x:c>
      <x:c r="H113" s="55" t="str">
        <x:v>00000000h</x:v>
      </x:c>
      <x:c r="I113" s="55" t="str">
        <x:v>41B00000h</x:v>
      </x:c>
      <x:c r="J113" s="55" t="str">
        <x:v>00000000h</x:v>
      </x:c>
      <x:c r="K113" s="55" t="str">
        <x:v>00000000h</x:v>
      </x:c>
      <x:c r="L113" s="61" t="str">
        <x:v>Roquette Éclair — Branche additionnelle</x:v>
      </x:c>
      <x:c r="M113" s="61" t="str">
        <x:v>Moyenne</x:v>
      </x:c>
      <x:c r="N113" s="61" t="str">
        <x:v>RAM2.dump / table statique LEVEL_01</x:v>
      </x:c>
    </x:row>
    <x:row r="114">
      <x:c r="A114" s="64" t="n">
        <x:v>108</x:v>
      </x:c>
      <x:c r="B114" s="64" t="n">
        <x:v>0</x:v>
      </x:c>
      <x:c r="C114" s="67" t="n">
        <x:v>33</x:v>
      </x:c>
      <x:c r="D114" s="67" t="n">
        <x:f>IF(B114=2,C114/2,C114)</x:f>
        <x:v>33</x:v>
      </x:c>
      <x:c r="E114" s="64" t="n">
        <x:v>0</x:v>
      </x:c>
      <x:c r="F114" s="64" t="n">
        <x:v>0</x:v>
      </x:c>
      <x:c r="G114" s="55" t="str">
        <x:v>0940548Ch</x:v>
      </x:c>
      <x:c r="H114" s="55" t="str">
        <x:v>00000000h</x:v>
      </x:c>
      <x:c r="I114" s="55" t="str">
        <x:v>42040000h</x:v>
      </x:c>
      <x:c r="J114" s="55" t="str">
        <x:v>00000000h</x:v>
      </x:c>
      <x:c r="K114" s="55" t="str">
        <x:v>00000000h</x:v>
      </x:c>
      <x:c r="L114" s="61" t="str">
        <x:v>Roquette Éclair — Branche additionnelle</x:v>
      </x:c>
      <x:c r="M114" s="61" t="str">
        <x:v>Moyenne</x:v>
      </x:c>
      <x:c r="N114" s="61" t="str">
        <x:v>RAM2.dump / table statique LEVEL_01</x:v>
      </x:c>
    </x:row>
    <x:row r="115">
      <x:c r="A115" s="64" t="n">
        <x:v>109</x:v>
      </x:c>
      <x:c r="B115" s="64" t="n">
        <x:v>1</x:v>
      </x:c>
      <x:c r="C115" s="67" t="n">
        <x:v>5.000000476837158</x:v>
      </x:c>
      <x:c r="D115" s="67" t="n">
        <x:f>IF(B115=2,C115/2,C115)</x:f>
        <x:v>5.000000476837158</x:v>
      </x:c>
      <x:c r="E115" s="64" t="n">
        <x:v>1</x:v>
      </x:c>
      <x:c r="F115" s="64" t="n">
        <x:v>3</x:v>
      </x:c>
      <x:c r="G115" s="55" t="str">
        <x:v>0940549Ch</x:v>
      </x:c>
      <x:c r="H115" s="55" t="str">
        <x:v>00000001h</x:v>
      </x:c>
      <x:c r="I115" s="55" t="str">
        <x:v>40A00001h</x:v>
      </x:c>
      <x:c r="J115" s="55" t="str">
        <x:v>00000001h</x:v>
      </x:c>
      <x:c r="K115" s="55" t="str">
        <x:v>00000003h</x:v>
      </x:c>
      <x:c r="L115" s="61" t="str"/>
      <x:c r="M115" s="61" t="str">
        <x:v>Non résolu</x:v>
      </x:c>
      <x:c r="N115" s="61" t="str">
        <x:v>RAM2.dump / table statique LEVEL_01</x:v>
      </x:c>
    </x:row>
    <x:row r="116">
      <x:c r="A116" s="64" t="n">
        <x:v>110</x:v>
      </x:c>
      <x:c r="B116" s="64" t="n">
        <x:v>1</x:v>
      </x:c>
      <x:c r="C116" s="67" t="n">
        <x:v>7.1666669845581055</x:v>
      </x:c>
      <x:c r="D116" s="67" t="n">
        <x:f>IF(B116=2,C116/2,C116)</x:f>
        <x:v>7.1666669845581055</x:v>
      </x:c>
      <x:c r="E116" s="64" t="n">
        <x:v>1</x:v>
      </x:c>
      <x:c r="F116" s="64" t="n">
        <x:v>3</x:v>
      </x:c>
      <x:c r="G116" s="55" t="str">
        <x:v>094054ACh</x:v>
      </x:c>
      <x:c r="H116" s="55" t="str">
        <x:v>00000001h</x:v>
      </x:c>
      <x:c r="I116" s="55" t="str">
        <x:v>40E55556h</x:v>
      </x:c>
      <x:c r="J116" s="55" t="str">
        <x:v>00000001h</x:v>
      </x:c>
      <x:c r="K116" s="55" t="str">
        <x:v>00000003h</x:v>
      </x:c>
      <x:c r="L116" s="61" t="str"/>
      <x:c r="M116" s="61" t="str">
        <x:v>Non résolu</x:v>
      </x:c>
      <x:c r="N116" s="61" t="str">
        <x:v>RAM2.dump / table statique LEVEL_01</x:v>
      </x:c>
    </x:row>
    <x:row r="117">
      <x:c r="A117" s="64" t="n">
        <x:v>111</x:v>
      </x:c>
      <x:c r="B117" s="64" t="n">
        <x:v>1</x:v>
      </x:c>
      <x:c r="C117" s="67" t="n">
        <x:v>10.166666984558105</x:v>
      </x:c>
      <x:c r="D117" s="67" t="n">
        <x:f>IF(B117=2,C117/2,C117)</x:f>
        <x:v>10.166666984558105</x:v>
      </x:c>
      <x:c r="E117" s="64" t="n">
        <x:v>1</x:v>
      </x:c>
      <x:c r="F117" s="64" t="n">
        <x:v>3</x:v>
      </x:c>
      <x:c r="G117" s="55" t="str">
        <x:v>094054BCh</x:v>
      </x:c>
      <x:c r="H117" s="55" t="str">
        <x:v>00000001h</x:v>
      </x:c>
      <x:c r="I117" s="55" t="str">
        <x:v>4122AAABh</x:v>
      </x:c>
      <x:c r="J117" s="55" t="str">
        <x:v>00000001h</x:v>
      </x:c>
      <x:c r="K117" s="55" t="str">
        <x:v>00000003h</x:v>
      </x:c>
      <x:c r="L117" s="61" t="str"/>
      <x:c r="M117" s="61" t="str">
        <x:v>Non résolu</x:v>
      </x:c>
      <x:c r="N117" s="61" t="str">
        <x:v>RAM2.dump / table statique LEVEL_01</x:v>
      </x:c>
    </x:row>
    <x:row r="118">
      <x:c r="A118" s="64" t="n">
        <x:v>112</x:v>
      </x:c>
      <x:c r="B118" s="64" t="n">
        <x:v>1</x:v>
      </x:c>
      <x:c r="C118" s="67" t="n">
        <x:v>13.333333969116211</x:v>
      </x:c>
      <x:c r="D118" s="67" t="n">
        <x:f>IF(B118=2,C118/2,C118)</x:f>
        <x:v>13.333333969116211</x:v>
      </x:c>
      <x:c r="E118" s="64" t="n">
        <x:v>1</x:v>
      </x:c>
      <x:c r="F118" s="64" t="n">
        <x:v>3</x:v>
      </x:c>
      <x:c r="G118" s="55" t="str">
        <x:v>094054CCh</x:v>
      </x:c>
      <x:c r="H118" s="55" t="str">
        <x:v>00000001h</x:v>
      </x:c>
      <x:c r="I118" s="55" t="str">
        <x:v>41555556h</x:v>
      </x:c>
      <x:c r="J118" s="55" t="str">
        <x:v>00000001h</x:v>
      </x:c>
      <x:c r="K118" s="55" t="str">
        <x:v>00000003h</x:v>
      </x:c>
      <x:c r="L118" s="61" t="str"/>
      <x:c r="M118" s="61" t="str">
        <x:v>Non résolu</x:v>
      </x:c>
      <x:c r="N118" s="61" t="str">
        <x:v>RAM2.dump / table statique LEVEL_01</x:v>
      </x:c>
    </x:row>
    <x:row r="119">
      <x:c r="A119" s="64" t="n">
        <x:v>113</x:v>
      </x:c>
      <x:c r="B119" s="64" t="n">
        <x:v>1</x:v>
      </x:c>
      <x:c r="C119" s="67" t="n">
        <x:v>17.33333396911621</x:v>
      </x:c>
      <x:c r="D119" s="67" t="n">
        <x:f>IF(B119=2,C119/2,C119)</x:f>
        <x:v>17.33333396911621</x:v>
      </x:c>
      <x:c r="E119" s="64" t="n">
        <x:v>1</x:v>
      </x:c>
      <x:c r="F119" s="64" t="n">
        <x:v>3</x:v>
      </x:c>
      <x:c r="G119" s="55" t="str">
        <x:v>094054DCh</x:v>
      </x:c>
      <x:c r="H119" s="55" t="str">
        <x:v>00000001h</x:v>
      </x:c>
      <x:c r="I119" s="55" t="str">
        <x:v>418AAAABh</x:v>
      </x:c>
      <x:c r="J119" s="55" t="str">
        <x:v>00000001h</x:v>
      </x:c>
      <x:c r="K119" s="55" t="str">
        <x:v>00000003h</x:v>
      </x:c>
      <x:c r="L119" s="61" t="str"/>
      <x:c r="M119" s="61" t="str">
        <x:v>Non résolu</x:v>
      </x:c>
      <x:c r="N119" s="61" t="str">
        <x:v>RAM2.dump / table statique LEVEL_01</x:v>
      </x:c>
    </x:row>
    <x:row r="120">
      <x:c r="A120" s="64" t="n">
        <x:v>114</x:v>
      </x:c>
      <x:c r="B120" s="64" t="n">
        <x:v>1</x:v>
      </x:c>
      <x:c r="C120" s="67" t="n">
        <x:v>22.83333396911621</x:v>
      </x:c>
      <x:c r="D120" s="67" t="n">
        <x:f>IF(B120=2,C120/2,C120)</x:f>
        <x:v>22.83333396911621</x:v>
      </x:c>
      <x:c r="E120" s="64" t="n">
        <x:v>1</x:v>
      </x:c>
      <x:c r="F120" s="64" t="n">
        <x:v>3</x:v>
      </x:c>
      <x:c r="G120" s="55" t="str">
        <x:v>094054ECh</x:v>
      </x:c>
      <x:c r="H120" s="55" t="str">
        <x:v>00000001h</x:v>
      </x:c>
      <x:c r="I120" s="55" t="str">
        <x:v>41B6AAABh</x:v>
      </x:c>
      <x:c r="J120" s="55" t="str">
        <x:v>00000001h</x:v>
      </x:c>
      <x:c r="K120" s="55" t="str">
        <x:v>00000003h</x:v>
      </x:c>
      <x:c r="L120" s="61" t="str"/>
      <x:c r="M120" s="61" t="str">
        <x:v>Non résolu</x:v>
      </x:c>
      <x:c r="N120" s="61" t="str">
        <x:v>RAM2.dump / table statique LEVEL_01</x:v>
      </x:c>
    </x:row>
    <x:row r="121">
      <x:c r="A121" s="64" t="n">
        <x:v>115</x:v>
      </x:c>
      <x:c r="B121" s="64" t="n">
        <x:v>1</x:v>
      </x:c>
      <x:c r="C121" s="67" t="n">
        <x:v>29.666667938232422</x:v>
      </x:c>
      <x:c r="D121" s="67" t="n">
        <x:f>IF(B121=2,C121/2,C121)</x:f>
        <x:v>29.666667938232422</x:v>
      </x:c>
      <x:c r="E121" s="64" t="n">
        <x:v>1</x:v>
      </x:c>
      <x:c r="F121" s="64" t="n">
        <x:v>3</x:v>
      </x:c>
      <x:c r="G121" s="55" t="str">
        <x:v>094054FCh</x:v>
      </x:c>
      <x:c r="H121" s="55" t="str">
        <x:v>00000001h</x:v>
      </x:c>
      <x:c r="I121" s="55" t="str">
        <x:v>41ED5556h</x:v>
      </x:c>
      <x:c r="J121" s="55" t="str">
        <x:v>00000001h</x:v>
      </x:c>
      <x:c r="K121" s="55" t="str">
        <x:v>00000003h</x:v>
      </x:c>
      <x:c r="L121" s="61" t="str"/>
      <x:c r="M121" s="61" t="str">
        <x:v>Non résolu</x:v>
      </x:c>
      <x:c r="N121" s="61" t="str">
        <x:v>RAM2.dump / table statique LEVEL_01</x:v>
      </x:c>
    </x:row>
    <x:row r="122">
      <x:c r="A122" s="64" t="n">
        <x:v>116</x:v>
      </x:c>
      <x:c r="B122" s="64" t="n">
        <x:v>1</x:v>
      </x:c>
      <x:c r="C122" s="67" t="n">
        <x:v>36.66666793823242</x:v>
      </x:c>
      <x:c r="D122" s="67" t="n">
        <x:f>IF(B122=2,C122/2,C122)</x:f>
        <x:v>36.66666793823242</x:v>
      </x:c>
      <x:c r="E122" s="64" t="n">
        <x:v>1</x:v>
      </x:c>
      <x:c r="F122" s="64" t="n">
        <x:v>3</x:v>
      </x:c>
      <x:c r="G122" s="55" t="str">
        <x:v>0940550Ch</x:v>
      </x:c>
      <x:c r="H122" s="55" t="str">
        <x:v>00000001h</x:v>
      </x:c>
      <x:c r="I122" s="55" t="str">
        <x:v>4212AAABh</x:v>
      </x:c>
      <x:c r="J122" s="55" t="str">
        <x:v>00000001h</x:v>
      </x:c>
      <x:c r="K122" s="55" t="str">
        <x:v>00000003h</x:v>
      </x:c>
      <x:c r="L122" s="61" t="str"/>
      <x:c r="M122" s="61" t="str">
        <x:v>Non résolu</x:v>
      </x:c>
      <x:c r="N122" s="61" t="str">
        <x:v>RAM2.dump / table statique LEVEL_01</x:v>
      </x:c>
    </x:row>
    <x:row r="123">
      <x:c r="A123" s="64" t="n">
        <x:v>117</x:v>
      </x:c>
      <x:c r="B123" s="64" t="n">
        <x:v>0</x:v>
      </x:c>
      <x:c r="C123" s="67" t="n">
        <x:v>15</x:v>
      </x:c>
      <x:c r="D123" s="67" t="n">
        <x:f>IF(B123=2,C123/2,C123)</x:f>
        <x:v>15</x:v>
      </x:c>
      <x:c r="E123" s="64" t="n">
        <x:v>1</x:v>
      </x:c>
      <x:c r="F123" s="64" t="n">
        <x:v>1</x:v>
      </x:c>
      <x:c r="G123" s="55" t="str">
        <x:v>0940551Ch</x:v>
      </x:c>
      <x:c r="H123" s="55" t="str">
        <x:v>00000000h</x:v>
      </x:c>
      <x:c r="I123" s="55" t="str">
        <x:v>41700000h</x:v>
      </x:c>
      <x:c r="J123" s="55" t="str">
        <x:v>00000001h</x:v>
      </x:c>
      <x:c r="K123" s="55" t="str">
        <x:v>00000001h</x:v>
      </x:c>
      <x:c r="L123" s="61" t="str"/>
      <x:c r="M123" s="61" t="str">
        <x:v>Non résolu</x:v>
      </x:c>
      <x:c r="N123" s="61" t="str">
        <x:v>RAM2.dump / table statique LEVEL_01</x:v>
      </x:c>
    </x:row>
    <x:row r="124">
      <x:c r="A124" s="64" t="n">
        <x:v>118</x:v>
      </x:c>
      <x:c r="B124" s="64" t="n">
        <x:v>0</x:v>
      </x:c>
      <x:c r="C124" s="67" t="n">
        <x:v>24</x:v>
      </x:c>
      <x:c r="D124" s="67" t="n">
        <x:f>IF(B124=2,C124/2,C124)</x:f>
        <x:v>24</x:v>
      </x:c>
      <x:c r="E124" s="64" t="n">
        <x:v>1</x:v>
      </x:c>
      <x:c r="F124" s="64" t="n">
        <x:v>1</x:v>
      </x:c>
      <x:c r="G124" s="55" t="str">
        <x:v>0940552Ch</x:v>
      </x:c>
      <x:c r="H124" s="55" t="str">
        <x:v>00000000h</x:v>
      </x:c>
      <x:c r="I124" s="55" t="str">
        <x:v>41C00000h</x:v>
      </x:c>
      <x:c r="J124" s="55" t="str">
        <x:v>00000001h</x:v>
      </x:c>
      <x:c r="K124" s="55" t="str">
        <x:v>00000001h</x:v>
      </x:c>
      <x:c r="L124" s="61" t="str"/>
      <x:c r="M124" s="61" t="str">
        <x:v>Non résolu</x:v>
      </x:c>
      <x:c r="N124" s="61" t="str">
        <x:v>RAM2.dump / table statique LEVEL_01</x:v>
      </x:c>
    </x:row>
    <x:row r="125">
      <x:c r="A125" s="64" t="n">
        <x:v>119</x:v>
      </x:c>
      <x:c r="B125" s="64" t="n">
        <x:v>0</x:v>
      </x:c>
      <x:c r="C125" s="67" t="n">
        <x:v>34</x:v>
      </x:c>
      <x:c r="D125" s="67" t="n">
        <x:f>IF(B125=2,C125/2,C125)</x:f>
        <x:v>34</x:v>
      </x:c>
      <x:c r="E125" s="64" t="n">
        <x:v>1</x:v>
      </x:c>
      <x:c r="F125" s="64" t="n">
        <x:v>1</x:v>
      </x:c>
      <x:c r="G125" s="55" t="str">
        <x:v>0940553Ch</x:v>
      </x:c>
      <x:c r="H125" s="55" t="str">
        <x:v>00000000h</x:v>
      </x:c>
      <x:c r="I125" s="55" t="str">
        <x:v>42080000h</x:v>
      </x:c>
      <x:c r="J125" s="55" t="str">
        <x:v>00000001h</x:v>
      </x:c>
      <x:c r="K125" s="55" t="str">
        <x:v>00000001h</x:v>
      </x:c>
      <x:c r="L125" s="61" t="str"/>
      <x:c r="M125" s="61" t="str">
        <x:v>Non résolu</x:v>
      </x:c>
      <x:c r="N125" s="61" t="str">
        <x:v>RAM2.dump / table statique LEVEL_01</x:v>
      </x:c>
    </x:row>
    <x:row r="126">
      <x:c r="A126" s="64" t="n">
        <x:v>120</x:v>
      </x:c>
      <x:c r="B126" s="64" t="n">
        <x:v>0</x:v>
      </x:c>
      <x:c r="C126" s="67" t="n">
        <x:v>97</x:v>
      </x:c>
      <x:c r="D126" s="67" t="n">
        <x:f>IF(B126=2,C126/2,C126)</x:f>
        <x:v>97</x:v>
      </x:c>
      <x:c r="E126" s="64" t="n">
        <x:v>1</x:v>
      </x:c>
      <x:c r="F126" s="64" t="n">
        <x:v>1</x:v>
      </x:c>
      <x:c r="G126" s="55" t="str">
        <x:v>0940554Ch</x:v>
      </x:c>
      <x:c r="H126" s="55" t="str">
        <x:v>00000000h</x:v>
      </x:c>
      <x:c r="I126" s="55" t="str">
        <x:v>42C20000h</x:v>
      </x:c>
      <x:c r="J126" s="55" t="str">
        <x:v>00000001h</x:v>
      </x:c>
      <x:c r="K126" s="55" t="str">
        <x:v>00000001h</x:v>
      </x:c>
      <x:c r="L126" s="61" t="str"/>
      <x:c r="M126" s="61" t="str">
        <x:v>Non résolu</x:v>
      </x:c>
      <x:c r="N126" s="61" t="str">
        <x:v>RAM2.dump / table statique LEVEL_01</x:v>
      </x:c>
    </x:row>
    <x:row r="127">
      <x:c r="A127" s="64" t="n">
        <x:v>121</x:v>
      </x:c>
      <x:c r="B127" s="64" t="n">
        <x:v>0</x:v>
      </x:c>
      <x:c r="C127" s="67" t="n">
        <x:v>116</x:v>
      </x:c>
      <x:c r="D127" s="67" t="n">
        <x:f>IF(B127=2,C127/2,C127)</x:f>
        <x:v>116</x:v>
      </x:c>
      <x:c r="E127" s="64" t="n">
        <x:v>1</x:v>
      </x:c>
      <x:c r="F127" s="64" t="n">
        <x:v>1</x:v>
      </x:c>
      <x:c r="G127" s="55" t="str">
        <x:v>0940555Ch</x:v>
      </x:c>
      <x:c r="H127" s="55" t="str">
        <x:v>00000000h</x:v>
      </x:c>
      <x:c r="I127" s="55" t="str">
        <x:v>42E80000h</x:v>
      </x:c>
      <x:c r="J127" s="55" t="str">
        <x:v>00000001h</x:v>
      </x:c>
      <x:c r="K127" s="55" t="str">
        <x:v>00000001h</x:v>
      </x:c>
      <x:c r="L127" s="61" t="str"/>
      <x:c r="M127" s="61" t="str">
        <x:v>Non résolu</x:v>
      </x:c>
      <x:c r="N127" s="61" t="str">
        <x:v>RAM2.dump / table statique LEVEL_01</x:v>
      </x:c>
    </x:row>
    <x:row r="128">
      <x:c r="A128" s="64" t="n">
        <x:v>122</x:v>
      </x:c>
      <x:c r="B128" s="64" t="n">
        <x:v>0</x:v>
      </x:c>
      <x:c r="C128" s="67" t="n">
        <x:v>150</x:v>
      </x:c>
      <x:c r="D128" s="67" t="n">
        <x:f>IF(B128=2,C128/2,C128)</x:f>
        <x:v>150</x:v>
      </x:c>
      <x:c r="E128" s="64" t="n">
        <x:v>1</x:v>
      </x:c>
      <x:c r="F128" s="64" t="n">
        <x:v>1</x:v>
      </x:c>
      <x:c r="G128" s="55" t="str">
        <x:v>0940556Ch</x:v>
      </x:c>
      <x:c r="H128" s="55" t="str">
        <x:v>00000000h</x:v>
      </x:c>
      <x:c r="I128" s="55" t="str">
        <x:v>43160000h</x:v>
      </x:c>
      <x:c r="J128" s="55" t="str">
        <x:v>00000001h</x:v>
      </x:c>
      <x:c r="K128" s="55" t="str">
        <x:v>00000001h</x:v>
      </x:c>
      <x:c r="L128" s="61" t="str"/>
      <x:c r="M128" s="61" t="str">
        <x:v>Non résolu</x:v>
      </x:c>
      <x:c r="N128" s="61" t="str">
        <x:v>RAM2.dump / table statique LEVEL_01</x:v>
      </x:c>
    </x:row>
    <x:row r="129">
      <x:c r="A129" s="64" t="n">
        <x:v>123</x:v>
      </x:c>
      <x:c r="B129" s="64" t="n">
        <x:v>0</x:v>
      </x:c>
      <x:c r="C129" s="67" t="n">
        <x:v>199</x:v>
      </x:c>
      <x:c r="D129" s="67" t="n">
        <x:f>IF(B129=2,C129/2,C129)</x:f>
        <x:v>199</x:v>
      </x:c>
      <x:c r="E129" s="64" t="n">
        <x:v>1</x:v>
      </x:c>
      <x:c r="F129" s="64" t="n">
        <x:v>1</x:v>
      </x:c>
      <x:c r="G129" s="55" t="str">
        <x:v>0940557Ch</x:v>
      </x:c>
      <x:c r="H129" s="55" t="str">
        <x:v>00000000h</x:v>
      </x:c>
      <x:c r="I129" s="55" t="str">
        <x:v>43470000h</x:v>
      </x:c>
      <x:c r="J129" s="55" t="str">
        <x:v>00000001h</x:v>
      </x:c>
      <x:c r="K129" s="55" t="str">
        <x:v>00000001h</x:v>
      </x:c>
      <x:c r="L129" s="61" t="str"/>
      <x:c r="M129" s="61" t="str">
        <x:v>Non résolu</x:v>
      </x:c>
      <x:c r="N129" s="61" t="str">
        <x:v>RAM2.dump / table statique LEVEL_01</x:v>
      </x:c>
    </x:row>
    <x:row r="130">
      <x:c r="A130" s="64" t="n">
        <x:v>124</x:v>
      </x:c>
      <x:c r="B130" s="64" t="n">
        <x:v>0</x:v>
      </x:c>
      <x:c r="C130" s="67" t="n">
        <x:v>275</x:v>
      </x:c>
      <x:c r="D130" s="67" t="n">
        <x:f>IF(B130=2,C130/2,C130)</x:f>
        <x:v>275</x:v>
      </x:c>
      <x:c r="E130" s="64" t="n">
        <x:v>1</x:v>
      </x:c>
      <x:c r="F130" s="64" t="n">
        <x:v>1</x:v>
      </x:c>
      <x:c r="G130" s="55" t="str">
        <x:v>0940558Ch</x:v>
      </x:c>
      <x:c r="H130" s="55" t="str">
        <x:v>00000000h</x:v>
      </x:c>
      <x:c r="I130" s="55" t="str">
        <x:v>43898000h</x:v>
      </x:c>
      <x:c r="J130" s="55" t="str">
        <x:v>00000001h</x:v>
      </x:c>
      <x:c r="K130" s="55" t="str">
        <x:v>00000001h</x:v>
      </x:c>
      <x:c r="L130" s="61" t="str"/>
      <x:c r="M130" s="61" t="str">
        <x:v>Non résolu</x:v>
      </x:c>
      <x:c r="N130" s="61" t="str">
        <x:v>RAM2.dump / table statique LEVEL_01</x:v>
      </x:c>
    </x:row>
    <x:row r="131">
      <x:c r="A131" s="64" t="n">
        <x:v>125</x:v>
      </x:c>
      <x:c r="B131" s="64" t="n">
        <x:v>1</x:v>
      </x:c>
      <x:c r="C131" s="67" t="n">
        <x:v>6.250000476837158</x:v>
      </x:c>
      <x:c r="D131" s="67" t="n">
        <x:f>IF(B131=2,C131/2,C131)</x:f>
        <x:v>6.250000476837158</x:v>
      </x:c>
      <x:c r="E131" s="64" t="n">
        <x:v>11</x:v>
      </x:c>
      <x:c r="F131" s="64" t="n">
        <x:v>3</x:v>
      </x:c>
      <x:c r="G131" s="55" t="str">
        <x:v>0940559Ch</x:v>
      </x:c>
      <x:c r="H131" s="55" t="str">
        <x:v>00000001h</x:v>
      </x:c>
      <x:c r="I131" s="55" t="str">
        <x:v>40C80001h</x:v>
      </x:c>
      <x:c r="J131" s="55" t="str">
        <x:v>0000000Bh</x:v>
      </x:c>
      <x:c r="K131" s="55" t="str">
        <x:v>00000003h</x:v>
      </x:c>
      <x:c r="L131" s="61" t="str">
        <x:v>Pisteur Laser — Rayon principal</x:v>
      </x:c>
      <x:c r="M131" s="61" t="str">
        <x:v>Élevée</x:v>
      </x:c>
      <x:c r="N131" s="61" t="str">
        <x:v>RAM2.dump / table statique LEVEL_01</x:v>
      </x:c>
    </x:row>
    <x:row r="132">
      <x:c r="A132" s="64" t="n">
        <x:v>126</x:v>
      </x:c>
      <x:c r="B132" s="64" t="n">
        <x:v>1</x:v>
      </x:c>
      <x:c r="C132" s="67" t="n">
        <x:v>8.958333969116211</x:v>
      </x:c>
      <x:c r="D132" s="67" t="n">
        <x:f>IF(B132=2,C132/2,C132)</x:f>
        <x:v>8.958333969116211</x:v>
      </x:c>
      <x:c r="E132" s="64" t="n">
        <x:v>11</x:v>
      </x:c>
      <x:c r="F132" s="64" t="n">
        <x:v>3</x:v>
      </x:c>
      <x:c r="G132" s="55" t="str">
        <x:v>094055ACh</x:v>
      </x:c>
      <x:c r="H132" s="55" t="str">
        <x:v>00000001h</x:v>
      </x:c>
      <x:c r="I132" s="55" t="str">
        <x:v>410F5556h</x:v>
      </x:c>
      <x:c r="J132" s="55" t="str">
        <x:v>0000000Bh</x:v>
      </x:c>
      <x:c r="K132" s="55" t="str">
        <x:v>00000003h</x:v>
      </x:c>
      <x:c r="L132" s="61" t="str">
        <x:v>Pisteur Laser — Rayon principal</x:v>
      </x:c>
      <x:c r="M132" s="61" t="str">
        <x:v>Élevée</x:v>
      </x:c>
      <x:c r="N132" s="61" t="str">
        <x:v>RAM2.dump / table statique LEVEL_01</x:v>
      </x:c>
    </x:row>
    <x:row r="133">
      <x:c r="A133" s="64" t="n">
        <x:v>127</x:v>
      </x:c>
      <x:c r="B133" s="64" t="n">
        <x:v>1</x:v>
      </x:c>
      <x:c r="C133" s="67" t="n">
        <x:v>12.708333969116211</x:v>
      </x:c>
      <x:c r="D133" s="67" t="n">
        <x:f>IF(B133=2,C133/2,C133)</x:f>
        <x:v>12.708333969116211</x:v>
      </x:c>
      <x:c r="E133" s="64" t="n">
        <x:v>11</x:v>
      </x:c>
      <x:c r="F133" s="64" t="n">
        <x:v>3</x:v>
      </x:c>
      <x:c r="G133" s="55" t="str">
        <x:v>094055BCh</x:v>
      </x:c>
      <x:c r="H133" s="55" t="str">
        <x:v>00000001h</x:v>
      </x:c>
      <x:c r="I133" s="55" t="str">
        <x:v>414B5556h</x:v>
      </x:c>
      <x:c r="J133" s="55" t="str">
        <x:v>0000000Bh</x:v>
      </x:c>
      <x:c r="K133" s="55" t="str">
        <x:v>00000003h</x:v>
      </x:c>
      <x:c r="L133" s="61" t="str">
        <x:v>Pisteur Laser — Rayon principal</x:v>
      </x:c>
      <x:c r="M133" s="61" t="str">
        <x:v>Élevée</x:v>
      </x:c>
      <x:c r="N133" s="61" t="str">
        <x:v>RAM2.dump / table statique LEVEL_01</x:v>
      </x:c>
    </x:row>
    <x:row r="134">
      <x:c r="A134" s="64" t="n">
        <x:v>128</x:v>
      </x:c>
      <x:c r="B134" s="64" t="n">
        <x:v>1</x:v>
      </x:c>
      <x:c r="C134" s="67" t="n">
        <x:v>16.666667938232422</x:v>
      </x:c>
      <x:c r="D134" s="67" t="n">
        <x:f>IF(B134=2,C134/2,C134)</x:f>
        <x:v>16.666667938232422</x:v>
      </x:c>
      <x:c r="E134" s="64" t="n">
        <x:v>11</x:v>
      </x:c>
      <x:c r="F134" s="64" t="n">
        <x:v>3</x:v>
      </x:c>
      <x:c r="G134" s="55" t="str">
        <x:v>094055CCh</x:v>
      </x:c>
      <x:c r="H134" s="55" t="str">
        <x:v>00000001h</x:v>
      </x:c>
      <x:c r="I134" s="55" t="str">
        <x:v>41855556h</x:v>
      </x:c>
      <x:c r="J134" s="55" t="str">
        <x:v>0000000Bh</x:v>
      </x:c>
      <x:c r="K134" s="55" t="str">
        <x:v>00000003h</x:v>
      </x:c>
      <x:c r="L134" s="61" t="str">
        <x:v>Pisteur Laser — Rayon principal</x:v>
      </x:c>
      <x:c r="M134" s="61" t="str">
        <x:v>Élevée</x:v>
      </x:c>
      <x:c r="N134" s="61" t="str">
        <x:v>RAM2.dump / table statique LEVEL_01</x:v>
      </x:c>
    </x:row>
    <x:row r="135">
      <x:c r="A135" s="64" t="n">
        <x:v>129</x:v>
      </x:c>
      <x:c r="B135" s="64" t="n">
        <x:v>1</x:v>
      </x:c>
      <x:c r="C135" s="67" t="n">
        <x:v>21.666667938232422</x:v>
      </x:c>
      <x:c r="D135" s="67" t="n">
        <x:f>IF(B135=2,C135/2,C135)</x:f>
        <x:v>21.666667938232422</x:v>
      </x:c>
      <x:c r="E135" s="64" t="n">
        <x:v>11</x:v>
      </x:c>
      <x:c r="F135" s="64" t="n">
        <x:v>3</x:v>
      </x:c>
      <x:c r="G135" s="55" t="str">
        <x:v>094055DCh</x:v>
      </x:c>
      <x:c r="H135" s="55" t="str">
        <x:v>00000001h</x:v>
      </x:c>
      <x:c r="I135" s="55" t="str">
        <x:v>41AD5556h</x:v>
      </x:c>
      <x:c r="J135" s="55" t="str">
        <x:v>0000000Bh</x:v>
      </x:c>
      <x:c r="K135" s="55" t="str">
        <x:v>00000003h</x:v>
      </x:c>
      <x:c r="L135" s="61" t="str">
        <x:v>Pisteur Laser — Rayon principal</x:v>
      </x:c>
      <x:c r="M135" s="61" t="str">
        <x:v>Élevée</x:v>
      </x:c>
      <x:c r="N135" s="61" t="str">
        <x:v>RAM2.dump / table statique LEVEL_01</x:v>
      </x:c>
    </x:row>
    <x:row r="136">
      <x:c r="A136" s="64" t="n">
        <x:v>130</x:v>
      </x:c>
      <x:c r="B136" s="64" t="n">
        <x:v>1</x:v>
      </x:c>
      <x:c r="C136" s="67" t="n">
        <x:v>28.541667938232422</x:v>
      </x:c>
      <x:c r="D136" s="67" t="n">
        <x:f>IF(B136=2,C136/2,C136)</x:f>
        <x:v>28.541667938232422</x:v>
      </x:c>
      <x:c r="E136" s="64" t="n">
        <x:v>11</x:v>
      </x:c>
      <x:c r="F136" s="64" t="n">
        <x:v>3</x:v>
      </x:c>
      <x:c r="G136" s="55" t="str">
        <x:v>094055ECh</x:v>
      </x:c>
      <x:c r="H136" s="55" t="str">
        <x:v>00000001h</x:v>
      </x:c>
      <x:c r="I136" s="55" t="str">
        <x:v>41E45556h</x:v>
      </x:c>
      <x:c r="J136" s="55" t="str">
        <x:v>0000000Bh</x:v>
      </x:c>
      <x:c r="K136" s="55" t="str">
        <x:v>00000003h</x:v>
      </x:c>
      <x:c r="L136" s="61" t="str">
        <x:v>Pisteur Laser — Rayon principal</x:v>
      </x:c>
      <x:c r="M136" s="61" t="str">
        <x:v>Élevée</x:v>
      </x:c>
      <x:c r="N136" s="61" t="str">
        <x:v>RAM2.dump / table statique LEVEL_01</x:v>
      </x:c>
    </x:row>
    <x:row r="137">
      <x:c r="A137" s="64" t="n">
        <x:v>131</x:v>
      </x:c>
      <x:c r="B137" s="64" t="n">
        <x:v>1</x:v>
      </x:c>
      <x:c r="C137" s="67" t="n">
        <x:v>37.083335876464844</x:v>
      </x:c>
      <x:c r="D137" s="67" t="n">
        <x:f>IF(B137=2,C137/2,C137)</x:f>
        <x:v>37.083335876464844</x:v>
      </x:c>
      <x:c r="E137" s="64" t="n">
        <x:v>11</x:v>
      </x:c>
      <x:c r="F137" s="64" t="n">
        <x:v>3</x:v>
      </x:c>
      <x:c r="G137" s="55" t="str">
        <x:v>094055FCh</x:v>
      </x:c>
      <x:c r="H137" s="55" t="str">
        <x:v>00000001h</x:v>
      </x:c>
      <x:c r="I137" s="55" t="str">
        <x:v>42145556h</x:v>
      </x:c>
      <x:c r="J137" s="55" t="str">
        <x:v>0000000Bh</x:v>
      </x:c>
      <x:c r="K137" s="55" t="str">
        <x:v>00000003h</x:v>
      </x:c>
      <x:c r="L137" s="61" t="str">
        <x:v>Pisteur Laser — Rayon principal</x:v>
      </x:c>
      <x:c r="M137" s="61" t="str">
        <x:v>Élevée</x:v>
      </x:c>
      <x:c r="N137" s="61" t="str">
        <x:v>RAM2.dump / table statique LEVEL_01</x:v>
      </x:c>
    </x:row>
    <x:row r="138">
      <x:c r="A138" s="64" t="n">
        <x:v>132</x:v>
      </x:c>
      <x:c r="B138" s="64" t="n">
        <x:v>1</x:v>
      </x:c>
      <x:c r="C138" s="67" t="n">
        <x:v>45.833335876464844</x:v>
      </x:c>
      <x:c r="D138" s="67" t="n">
        <x:f>IF(B138=2,C138/2,C138)</x:f>
        <x:v>45.833335876464844</x:v>
      </x:c>
      <x:c r="E138" s="64" t="n">
        <x:v>11</x:v>
      </x:c>
      <x:c r="F138" s="64" t="n">
        <x:v>3</x:v>
      </x:c>
      <x:c r="G138" s="55" t="str">
        <x:v>0940560Ch</x:v>
      </x:c>
      <x:c r="H138" s="55" t="str">
        <x:v>00000001h</x:v>
      </x:c>
      <x:c r="I138" s="55" t="str">
        <x:v>42375556h</x:v>
      </x:c>
      <x:c r="J138" s="55" t="str">
        <x:v>0000000Bh</x:v>
      </x:c>
      <x:c r="K138" s="55" t="str">
        <x:v>00000003h</x:v>
      </x:c>
      <x:c r="L138" s="61" t="str">
        <x:v>Pisteur Laser — Rayon principal</x:v>
      </x:c>
      <x:c r="M138" s="61" t="str">
        <x:v>Élevée</x:v>
      </x:c>
      <x:c r="N138" s="61" t="str">
        <x:v>RAM2.dump / table statique LEVEL_01</x:v>
      </x:c>
    </x:row>
    <x:row r="139">
      <x:c r="A139" s="64" t="n">
        <x:v>133</x:v>
      </x:c>
      <x:c r="B139" s="64" t="n">
        <x:v>1</x:v>
      </x:c>
      <x:c r="C139" s="67" t="n">
        <x:v>1.6666667461395264</x:v>
      </x:c>
      <x:c r="D139" s="67" t="n">
        <x:f>IF(B139=2,C139/2,C139)</x:f>
        <x:v>1.6666667461395264</x:v>
      </x:c>
      <x:c r="E139" s="64" t="n">
        <x:v>1</x:v>
      </x:c>
      <x:c r="F139" s="64" t="n">
        <x:v>1</x:v>
      </x:c>
      <x:c r="G139" s="55" t="str">
        <x:v>0940561Ch</x:v>
      </x:c>
      <x:c r="H139" s="55" t="str">
        <x:v>00000001h</x:v>
      </x:c>
      <x:c r="I139" s="55" t="str">
        <x:v>3FD55556h</x:v>
      </x:c>
      <x:c r="J139" s="55" t="str">
        <x:v>00000001h</x:v>
      </x:c>
      <x:c r="K139" s="55" t="str">
        <x:v>00000001h</x:v>
      </x:c>
      <x:c r="L139" s="61" t="str">
        <x:v>Pisteur Laser — Rayon alternatif</x:v>
      </x:c>
      <x:c r="M139" s="61" t="str">
        <x:v>Élevée</x:v>
      </x:c>
      <x:c r="N139" s="61" t="str">
        <x:v>RAM2.dump / table statique LEVEL_01</x:v>
      </x:c>
    </x:row>
    <x:row r="140">
      <x:c r="A140" s="64" t="n">
        <x:v>134</x:v>
      </x:c>
      <x:c r="B140" s="64" t="n">
        <x:v>1</x:v>
      </x:c>
      <x:c r="C140" s="67" t="n">
        <x:v>2.390000104904175</x:v>
      </x:c>
      <x:c r="D140" s="67" t="n">
        <x:f>IF(B140=2,C140/2,C140)</x:f>
        <x:v>2.390000104904175</x:v>
      </x:c>
      <x:c r="E140" s="64" t="n">
        <x:v>1</x:v>
      </x:c>
      <x:c r="F140" s="64" t="n">
        <x:v>1</x:v>
      </x:c>
      <x:c r="G140" s="55" t="str">
        <x:v>0940562Ch</x:v>
      </x:c>
      <x:c r="H140" s="55" t="str">
        <x:v>00000001h</x:v>
      </x:c>
      <x:c r="I140" s="55" t="str">
        <x:v>4018F5C3h</x:v>
      </x:c>
      <x:c r="J140" s="55" t="str">
        <x:v>00000001h</x:v>
      </x:c>
      <x:c r="K140" s="55" t="str">
        <x:v>00000001h</x:v>
      </x:c>
      <x:c r="L140" s="61" t="str">
        <x:v>Pisteur Laser — Rayon alternatif</x:v>
      </x:c>
      <x:c r="M140" s="61" t="str">
        <x:v>Élevée</x:v>
      </x:c>
      <x:c r="N140" s="61" t="str">
        <x:v>RAM2.dump / table statique LEVEL_01</x:v>
      </x:c>
    </x:row>
    <x:row r="141">
      <x:c r="A141" s="64" t="n">
        <x:v>135</x:v>
      </x:c>
      <x:c r="B141" s="64" t="n">
        <x:v>1</x:v>
      </x:c>
      <x:c r="C141" s="67" t="n">
        <x:v>3.390000104904175</x:v>
      </x:c>
      <x:c r="D141" s="67" t="n">
        <x:f>IF(B141=2,C141/2,C141)</x:f>
        <x:v>3.390000104904175</x:v>
      </x:c>
      <x:c r="E141" s="64" t="n">
        <x:v>1</x:v>
      </x:c>
      <x:c r="F141" s="64" t="n">
        <x:v>1</x:v>
      </x:c>
      <x:c r="G141" s="55" t="str">
        <x:v>0940563Ch</x:v>
      </x:c>
      <x:c r="H141" s="55" t="str">
        <x:v>00000001h</x:v>
      </x:c>
      <x:c r="I141" s="55" t="str">
        <x:v>4058F5C3h</x:v>
      </x:c>
      <x:c r="J141" s="55" t="str">
        <x:v>00000001h</x:v>
      </x:c>
      <x:c r="K141" s="55" t="str">
        <x:v>00000001h</x:v>
      </x:c>
      <x:c r="L141" s="61" t="str">
        <x:v>Pisteur Laser — Rayon alternatif</x:v>
      </x:c>
      <x:c r="M141" s="61" t="str">
        <x:v>Élevée</x:v>
      </x:c>
      <x:c r="N141" s="61" t="str">
        <x:v>RAM2.dump / table statique LEVEL_01</x:v>
      </x:c>
    </x:row>
    <x:row r="142">
      <x:c r="A142" s="64" t="n">
        <x:v>136</x:v>
      </x:c>
      <x:c r="B142" s="64" t="n">
        <x:v>1</x:v>
      </x:c>
      <x:c r="C142" s="67" t="n">
        <x:v>4.443333625793457</x:v>
      </x:c>
      <x:c r="D142" s="67" t="n">
        <x:f>IF(B142=2,C142/2,C142)</x:f>
        <x:v>4.443333625793457</x:v>
      </x:c>
      <x:c r="E142" s="64" t="n">
        <x:v>1</x:v>
      </x:c>
      <x:c r="F142" s="64" t="n">
        <x:v>1</x:v>
      </x:c>
      <x:c r="G142" s="55" t="str">
        <x:v>0940564Ch</x:v>
      </x:c>
      <x:c r="H142" s="55" t="str">
        <x:v>00000001h</x:v>
      </x:c>
      <x:c r="I142" s="55" t="str">
        <x:v>408E2FCAh</x:v>
      </x:c>
      <x:c r="J142" s="55" t="str">
        <x:v>00000001h</x:v>
      </x:c>
      <x:c r="K142" s="55" t="str">
        <x:v>00000001h</x:v>
      </x:c>
      <x:c r="L142" s="61" t="str">
        <x:v>Pisteur Laser — Rayon alternatif</x:v>
      </x:c>
      <x:c r="M142" s="61" t="str">
        <x:v>Élevée</x:v>
      </x:c>
      <x:c r="N142" s="61" t="str">
        <x:v>RAM2.dump / table statique LEVEL_01</x:v>
      </x:c>
    </x:row>
    <x:row r="143">
      <x:c r="A143" s="64" t="n">
        <x:v>137</x:v>
      </x:c>
      <x:c r="B143" s="64" t="n">
        <x:v>1</x:v>
      </x:c>
      <x:c r="C143" s="67" t="n">
        <x:v>5.77666711807251</x:v>
      </x:c>
      <x:c r="D143" s="67" t="n">
        <x:f>IF(B143=2,C143/2,C143)</x:f>
        <x:v>5.77666711807251</x:v>
      </x:c>
      <x:c r="E143" s="64" t="n">
        <x:v>1</x:v>
      </x:c>
      <x:c r="F143" s="64" t="n">
        <x:v>1</x:v>
      </x:c>
      <x:c r="G143" s="55" t="str">
        <x:v>0940565Ch</x:v>
      </x:c>
      <x:c r="H143" s="55" t="str">
        <x:v>00000001h</x:v>
      </x:c>
      <x:c r="I143" s="55" t="str">
        <x:v>40B8DA75h</x:v>
      </x:c>
      <x:c r="J143" s="55" t="str">
        <x:v>00000001h</x:v>
      </x:c>
      <x:c r="K143" s="55" t="str">
        <x:v>00000001h</x:v>
      </x:c>
      <x:c r="L143" s="61" t="str">
        <x:v>Pisteur Laser — Rayon alternatif</x:v>
      </x:c>
      <x:c r="M143" s="61" t="str">
        <x:v>Élevée</x:v>
      </x:c>
      <x:c r="N143" s="61" t="str">
        <x:v>RAM2.dump / table statique LEVEL_01</x:v>
      </x:c>
    </x:row>
    <x:row r="144">
      <x:c r="A144" s="64" t="n">
        <x:v>138</x:v>
      </x:c>
      <x:c r="B144" s="64" t="n">
        <x:v>1</x:v>
      </x:c>
      <x:c r="C144" s="67" t="n">
        <x:v>7.6100006103515625</x:v>
      </x:c>
      <x:c r="D144" s="67" t="n">
        <x:f>IF(B144=2,C144/2,C144)</x:f>
        <x:v>7.6100006103515625</x:v>
      </x:c>
      <x:c r="E144" s="64" t="n">
        <x:v>1</x:v>
      </x:c>
      <x:c r="F144" s="64" t="n">
        <x:v>1</x:v>
      </x:c>
      <x:c r="G144" s="55" t="str">
        <x:v>0940566Ch</x:v>
      </x:c>
      <x:c r="H144" s="55" t="str">
        <x:v>00000001h</x:v>
      </x:c>
      <x:c r="I144" s="55" t="str">
        <x:v>40F38520h</x:v>
      </x:c>
      <x:c r="J144" s="55" t="str">
        <x:v>00000001h</x:v>
      </x:c>
      <x:c r="K144" s="55" t="str">
        <x:v>00000001h</x:v>
      </x:c>
      <x:c r="L144" s="61" t="str">
        <x:v>Pisteur Laser — Rayon alternatif</x:v>
      </x:c>
      <x:c r="M144" s="61" t="str">
        <x:v>Élevée</x:v>
      </x:c>
      <x:c r="N144" s="61" t="str">
        <x:v>RAM2.dump / table statique LEVEL_01</x:v>
      </x:c>
    </x:row>
    <x:row r="145">
      <x:c r="A145" s="64" t="n">
        <x:v>139</x:v>
      </x:c>
      <x:c r="B145" s="64" t="n">
        <x:v>1</x:v>
      </x:c>
      <x:c r="C145" s="67" t="n">
        <x:v>9.89000129699707</x:v>
      </x:c>
      <x:c r="D145" s="67" t="n">
        <x:f>IF(B145=2,C145/2,C145)</x:f>
        <x:v>9.89000129699707</x:v>
      </x:c>
      <x:c r="E145" s="64" t="n">
        <x:v>1</x:v>
      </x:c>
      <x:c r="F145" s="64" t="n">
        <x:v>1</x:v>
      </x:c>
      <x:c r="G145" s="55" t="str">
        <x:v>0940567Ch</x:v>
      </x:c>
      <x:c r="H145" s="55" t="str">
        <x:v>00000001h</x:v>
      </x:c>
      <x:c r="I145" s="55" t="str">
        <x:v>411E3D72h</x:v>
      </x:c>
      <x:c r="J145" s="55" t="str">
        <x:v>00000001h</x:v>
      </x:c>
      <x:c r="K145" s="55" t="str">
        <x:v>00000001h</x:v>
      </x:c>
      <x:c r="L145" s="61" t="str">
        <x:v>Pisteur Laser — Rayon alternatif</x:v>
      </x:c>
      <x:c r="M145" s="61" t="str">
        <x:v>Élevée</x:v>
      </x:c>
      <x:c r="N145" s="61" t="str">
        <x:v>RAM2.dump / table statique LEVEL_01</x:v>
      </x:c>
    </x:row>
    <x:row r="146">
      <x:c r="A146" s="64" t="n">
        <x:v>140</x:v>
      </x:c>
      <x:c r="B146" s="64" t="n">
        <x:v>1</x:v>
      </x:c>
      <x:c r="C146" s="67" t="n">
        <x:v>12.223334312438965</x:v>
      </x:c>
      <x:c r="D146" s="67" t="n">
        <x:f>IF(B146=2,C146/2,C146)</x:f>
        <x:v>12.223334312438965</x:v>
      </x:c>
      <x:c r="E146" s="64" t="n">
        <x:v>1</x:v>
      </x:c>
      <x:c r="F146" s="64" t="n">
        <x:v>1</x:v>
      </x:c>
      <x:c r="G146" s="55" t="str">
        <x:v>0940568Ch</x:v>
      </x:c>
      <x:c r="H146" s="55" t="str">
        <x:v>00000001h</x:v>
      </x:c>
      <x:c r="I146" s="55" t="str">
        <x:v>414392C7h</x:v>
      </x:c>
      <x:c r="J146" s="55" t="str">
        <x:v>00000001h</x:v>
      </x:c>
      <x:c r="K146" s="55" t="str">
        <x:v>00000001h</x:v>
      </x:c>
      <x:c r="L146" s="61" t="str">
        <x:v>Pisteur Laser — Rayon alternatif</x:v>
      </x:c>
      <x:c r="M146" s="61" t="str">
        <x:v>Élevée</x:v>
      </x:c>
      <x:c r="N146" s="61" t="str">
        <x:v>RAM2.dump / table statique LEVEL_01</x:v>
      </x:c>
    </x:row>
    <x:row r="147">
      <x:c r="A147" s="64" t="n">
        <x:v>141</x:v>
      </x:c>
      <x:c r="B147" s="64" t="n">
        <x:v>0</x:v>
      </x:c>
      <x:c r="C147" s="67" t="n">
        <x:v>9.600000381469727</x:v>
      </x:c>
      <x:c r="D147" s="67" t="n">
        <x:f>IF(B147=2,C147/2,C147)</x:f>
        <x:v>9.600000381469727</x:v>
      </x:c>
      <x:c r="E147" s="64" t="n">
        <x:v>1</x:v>
      </x:c>
      <x:c r="F147" s="64" t="n">
        <x:v>1</x:v>
      </x:c>
      <x:c r="G147" s="55" t="str">
        <x:v>0940569Ch</x:v>
      </x:c>
      <x:c r="H147" s="55" t="str">
        <x:v>00000000h</x:v>
      </x:c>
      <x:c r="I147" s="55" t="str">
        <x:v>4119999Ah</x:v>
      </x:c>
      <x:c r="J147" s="55" t="str">
        <x:v>00000001h</x:v>
      </x:c>
      <x:c r="K147" s="55" t="str">
        <x:v>00000001h</x:v>
      </x:c>
      <x:c r="L147" s="61" t="str">
        <x:v>Gant Mine Abeille — ExplosiveBee</x:v>
      </x:c>
      <x:c r="M147" s="61" t="str">
        <x:v>Élevée</x:v>
      </x:c>
      <x:c r="N147" s="61" t="str">
        <x:v>RAM2.dump / table statique LEVEL_01</x:v>
      </x:c>
    </x:row>
    <x:row r="148">
      <x:c r="A148" s="64" t="n">
        <x:v>142</x:v>
      </x:c>
      <x:c r="B148" s="64" t="n">
        <x:v>0</x:v>
      </x:c>
      <x:c r="C148" s="67" t="n">
        <x:v>19.200000762939453</x:v>
      </x:c>
      <x:c r="D148" s="67" t="n">
        <x:f>IF(B148=2,C148/2,C148)</x:f>
        <x:v>19.200000762939453</x:v>
      </x:c>
      <x:c r="E148" s="64" t="n">
        <x:v>1</x:v>
      </x:c>
      <x:c r="F148" s="64" t="n">
        <x:v>1</x:v>
      </x:c>
      <x:c r="G148" s="55" t="str">
        <x:v>094056ACh</x:v>
      </x:c>
      <x:c r="H148" s="55" t="str">
        <x:v>00000000h</x:v>
      </x:c>
      <x:c r="I148" s="55" t="str">
        <x:v>4199999Ah</x:v>
      </x:c>
      <x:c r="J148" s="55" t="str">
        <x:v>00000001h</x:v>
      </x:c>
      <x:c r="K148" s="55" t="str">
        <x:v>00000001h</x:v>
      </x:c>
      <x:c r="L148" s="61" t="str">
        <x:v>Gant Mine Abeille — ExplosiveBee</x:v>
      </x:c>
      <x:c r="M148" s="61" t="str">
        <x:v>Élevée</x:v>
      </x:c>
      <x:c r="N148" s="61" t="str">
        <x:v>RAM2.dump / table statique LEVEL_01</x:v>
      </x:c>
    </x:row>
    <x:row r="149">
      <x:c r="A149" s="64" t="n">
        <x:v>143</x:v>
      </x:c>
      <x:c r="B149" s="64" t="n">
        <x:v>0</x:v>
      </x:c>
      <x:c r="C149" s="67" t="n">
        <x:v>28.799999237060547</x:v>
      </x:c>
      <x:c r="D149" s="67" t="n">
        <x:f>IF(B149=2,C149/2,C149)</x:f>
        <x:v>28.799999237060547</x:v>
      </x:c>
      <x:c r="E149" s="64" t="n">
        <x:v>1</x:v>
      </x:c>
      <x:c r="F149" s="64" t="n">
        <x:v>1</x:v>
      </x:c>
      <x:c r="G149" s="55" t="str">
        <x:v>094056BCh</x:v>
      </x:c>
      <x:c r="H149" s="55" t="str">
        <x:v>00000000h</x:v>
      </x:c>
      <x:c r="I149" s="55" t="str">
        <x:v>41E66666h</x:v>
      </x:c>
      <x:c r="J149" s="55" t="str">
        <x:v>00000001h</x:v>
      </x:c>
      <x:c r="K149" s="55" t="str">
        <x:v>00000001h</x:v>
      </x:c>
      <x:c r="L149" s="61" t="str">
        <x:v>Gant Mine Abeille — ExplosiveBee</x:v>
      </x:c>
      <x:c r="M149" s="61" t="str">
        <x:v>Élevée</x:v>
      </x:c>
      <x:c r="N149" s="61" t="str">
        <x:v>RAM2.dump / table statique LEVEL_01</x:v>
      </x:c>
    </x:row>
    <x:row r="150">
      <x:c r="A150" s="64" t="n">
        <x:v>144</x:v>
      </x:c>
      <x:c r="B150" s="64" t="n">
        <x:v>0</x:v>
      </x:c>
      <x:c r="C150" s="67" t="n">
        <x:v>38.400001525878906</x:v>
      </x:c>
      <x:c r="D150" s="67" t="n">
        <x:f>IF(B150=2,C150/2,C150)</x:f>
        <x:v>38.400001525878906</x:v>
      </x:c>
      <x:c r="E150" s="64" t="n">
        <x:v>1</x:v>
      </x:c>
      <x:c r="F150" s="64" t="n">
        <x:v>1</x:v>
      </x:c>
      <x:c r="G150" s="55" t="str">
        <x:v>094056CCh</x:v>
      </x:c>
      <x:c r="H150" s="55" t="str">
        <x:v>00000000h</x:v>
      </x:c>
      <x:c r="I150" s="55" t="str">
        <x:v>4219999Ah</x:v>
      </x:c>
      <x:c r="J150" s="55" t="str">
        <x:v>00000001h</x:v>
      </x:c>
      <x:c r="K150" s="55" t="str">
        <x:v>00000001h</x:v>
      </x:c>
      <x:c r="L150" s="61" t="str">
        <x:v>Gant Mine Abeille — ExplosiveBee</x:v>
      </x:c>
      <x:c r="M150" s="61" t="str">
        <x:v>Élevée</x:v>
      </x:c>
      <x:c r="N150" s="61" t="str">
        <x:v>RAM2.dump / table statique LEVEL_01</x:v>
      </x:c>
    </x:row>
    <x:row r="151">
      <x:c r="A151" s="64" t="n">
        <x:v>145</x:v>
      </x:c>
      <x:c r="B151" s="64" t="n">
        <x:v>0</x:v>
      </x:c>
      <x:c r="C151" s="67" t="n">
        <x:v>72</x:v>
      </x:c>
      <x:c r="D151" s="67" t="n">
        <x:f>IF(B151=2,C151/2,C151)</x:f>
        <x:v>72</x:v>
      </x:c>
      <x:c r="E151" s="64" t="n">
        <x:v>1</x:v>
      </x:c>
      <x:c r="F151" s="64" t="n">
        <x:v>1</x:v>
      </x:c>
      <x:c r="G151" s="55" t="str">
        <x:v>094056DCh</x:v>
      </x:c>
      <x:c r="H151" s="55" t="str">
        <x:v>00000000h</x:v>
      </x:c>
      <x:c r="I151" s="55" t="str">
        <x:v>42900000h</x:v>
      </x:c>
      <x:c r="J151" s="55" t="str">
        <x:v>00000001h</x:v>
      </x:c>
      <x:c r="K151" s="55" t="str">
        <x:v>00000001h</x:v>
      </x:c>
      <x:c r="L151" s="61" t="str">
        <x:v>Gant Mine Abeille — ExplosiveBee</x:v>
      </x:c>
      <x:c r="M151" s="61" t="str">
        <x:v>Élevée</x:v>
      </x:c>
      <x:c r="N151" s="61" t="str">
        <x:v>RAM2.dump / table statique LEVEL_01</x:v>
      </x:c>
    </x:row>
    <x:row r="152">
      <x:c r="A152" s="64" t="n">
        <x:v>146</x:v>
      </x:c>
      <x:c r="B152" s="64" t="n">
        <x:v>0</x:v>
      </x:c>
      <x:c r="C152" s="67" t="n">
        <x:v>118</x:v>
      </x:c>
      <x:c r="D152" s="67" t="n">
        <x:f>IF(B152=2,C152/2,C152)</x:f>
        <x:v>118</x:v>
      </x:c>
      <x:c r="E152" s="64" t="n">
        <x:v>1</x:v>
      </x:c>
      <x:c r="F152" s="64" t="n">
        <x:v>1</x:v>
      </x:c>
      <x:c r="G152" s="55" t="str">
        <x:v>094056ECh</x:v>
      </x:c>
      <x:c r="H152" s="55" t="str">
        <x:v>00000000h</x:v>
      </x:c>
      <x:c r="I152" s="55" t="str">
        <x:v>42EC0000h</x:v>
      </x:c>
      <x:c r="J152" s="55" t="str">
        <x:v>00000001h</x:v>
      </x:c>
      <x:c r="K152" s="55" t="str">
        <x:v>00000001h</x:v>
      </x:c>
      <x:c r="L152" s="61" t="str">
        <x:v>Gant Mine Abeille — ExplosiveBee</x:v>
      </x:c>
      <x:c r="M152" s="61" t="str">
        <x:v>Élevée</x:v>
      </x:c>
      <x:c r="N152" s="61" t="str">
        <x:v>RAM2.dump / table statique LEVEL_01</x:v>
      </x:c>
    </x:row>
    <x:row r="153">
      <x:c r="A153" s="64" t="n">
        <x:v>147</x:v>
      </x:c>
      <x:c r="B153" s="64" t="n">
        <x:v>0</x:v>
      </x:c>
      <x:c r="C153" s="67" t="n">
        <x:v>190</x:v>
      </x:c>
      <x:c r="D153" s="67" t="n">
        <x:f>IF(B153=2,C153/2,C153)</x:f>
        <x:v>190</x:v>
      </x:c>
      <x:c r="E153" s="64" t="n">
        <x:v>1</x:v>
      </x:c>
      <x:c r="F153" s="64" t="n">
        <x:v>1</x:v>
      </x:c>
      <x:c r="G153" s="55" t="str">
        <x:v>094056FCh</x:v>
      </x:c>
      <x:c r="H153" s="55" t="str">
        <x:v>00000000h</x:v>
      </x:c>
      <x:c r="I153" s="55" t="str">
        <x:v>433E0000h</x:v>
      </x:c>
      <x:c r="J153" s="55" t="str">
        <x:v>00000001h</x:v>
      </x:c>
      <x:c r="K153" s="55" t="str">
        <x:v>00000001h</x:v>
      </x:c>
      <x:c r="L153" s="61" t="str">
        <x:v>Gant Mine Abeille — ExplosiveBee</x:v>
      </x:c>
      <x:c r="M153" s="61" t="str">
        <x:v>Élevée</x:v>
      </x:c>
      <x:c r="N153" s="61" t="str">
        <x:v>RAM2.dump / table statique LEVEL_01</x:v>
      </x:c>
    </x:row>
    <x:row r="154">
      <x:c r="A154" s="64" t="n">
        <x:v>148</x:v>
      </x:c>
      <x:c r="B154" s="64" t="n">
        <x:v>0</x:v>
      </x:c>
      <x:c r="C154" s="67" t="n">
        <x:v>275</x:v>
      </x:c>
      <x:c r="D154" s="67" t="n">
        <x:f>IF(B154=2,C154/2,C154)</x:f>
        <x:v>275</x:v>
      </x:c>
      <x:c r="E154" s="64" t="n">
        <x:v>1</x:v>
      </x:c>
      <x:c r="F154" s="64" t="n">
        <x:v>1</x:v>
      </x:c>
      <x:c r="G154" s="55" t="str">
        <x:v>0940570Ch</x:v>
      </x:c>
      <x:c r="H154" s="55" t="str">
        <x:v>00000000h</x:v>
      </x:c>
      <x:c r="I154" s="55" t="str">
        <x:v>43898000h</x:v>
      </x:c>
      <x:c r="J154" s="55" t="str">
        <x:v>00000001h</x:v>
      </x:c>
      <x:c r="K154" s="55" t="str">
        <x:v>00000001h</x:v>
      </x:c>
      <x:c r="L154" s="61" t="str">
        <x:v>Gant Mine Abeille — ExplosiveBee</x:v>
      </x:c>
      <x:c r="M154" s="61" t="str">
        <x:v>Élevée</x:v>
      </x:c>
      <x:c r="N154" s="61" t="str">
        <x:v>RAM2.dump / table statique LEVEL_01</x:v>
      </x:c>
    </x:row>
    <x:row r="155">
      <x:c r="A155" s="64" t="n">
        <x:v>149</x:v>
      </x:c>
      <x:c r="B155" s="64" t="n">
        <x:v>1</x:v>
      </x:c>
      <x:c r="C155" s="67" t="n">
        <x:v>0</x:v>
      </x:c>
      <x:c r="D155" s="67" t="n">
        <x:f>IF(B155=2,C155/2,C155)</x:f>
        <x:v>0</x:v>
      </x:c>
      <x:c r="E155" s="64" t="n">
        <x:v>0</x:v>
      </x:c>
      <x:c r="F155" s="64" t="n">
        <x:v>0</x:v>
      </x:c>
      <x:c r="G155" s="55" t="str">
        <x:v>0940571Ch</x:v>
      </x:c>
      <x:c r="H155" s="55" t="str">
        <x:v>00000001h</x:v>
      </x:c>
      <x:c r="I155" s="55" t="str">
        <x:v>00000000h</x:v>
      </x:c>
      <x:c r="J155" s="55" t="str">
        <x:v>00000000h</x:v>
      </x:c>
      <x:c r="K155" s="55" t="str">
        <x:v>00000000h</x:v>
      </x:c>
      <x:c r="L155" s="61" t="str"/>
      <x:c r="M155" s="61" t="str">
        <x:v>Non résolu</x:v>
      </x:c>
      <x:c r="N155" s="61" t="str">
        <x:v>RAM2.dump / table statique LEVEL_01</x:v>
      </x:c>
    </x:row>
    <x:row r="156">
      <x:c r="A156" s="64" t="n">
        <x:v>150</x:v>
      </x:c>
      <x:c r="B156" s="64" t="n">
        <x:v>1</x:v>
      </x:c>
      <x:c r="C156" s="67" t="n">
        <x:v>0</x:v>
      </x:c>
      <x:c r="D156" s="67" t="n">
        <x:f>IF(B156=2,C156/2,C156)</x:f>
        <x:v>0</x:v>
      </x:c>
      <x:c r="E156" s="64" t="n">
        <x:v>0</x:v>
      </x:c>
      <x:c r="F156" s="64" t="n">
        <x:v>0</x:v>
      </x:c>
      <x:c r="G156" s="55" t="str">
        <x:v>0940572Ch</x:v>
      </x:c>
      <x:c r="H156" s="55" t="str">
        <x:v>00000001h</x:v>
      </x:c>
      <x:c r="I156" s="55" t="str">
        <x:v>00000000h</x:v>
      </x:c>
      <x:c r="J156" s="55" t="str">
        <x:v>00000000h</x:v>
      </x:c>
      <x:c r="K156" s="55" t="str">
        <x:v>00000000h</x:v>
      </x:c>
      <x:c r="L156" s="61" t="str"/>
      <x:c r="M156" s="61" t="str">
        <x:v>Non résolu</x:v>
      </x:c>
      <x:c r="N156" s="61" t="str">
        <x:v>RAM2.dump / table statique LEVEL_01</x:v>
      </x:c>
    </x:row>
    <x:row r="157">
      <x:c r="A157" s="64" t="n">
        <x:v>151</x:v>
      </x:c>
      <x:c r="B157" s="64" t="n">
        <x:v>1</x:v>
      </x:c>
      <x:c r="C157" s="67" t="n">
        <x:v>0</x:v>
      </x:c>
      <x:c r="D157" s="67" t="n">
        <x:f>IF(B157=2,C157/2,C157)</x:f>
        <x:v>0</x:v>
      </x:c>
      <x:c r="E157" s="64" t="n">
        <x:v>0</x:v>
      </x:c>
      <x:c r="F157" s="64" t="n">
        <x:v>0</x:v>
      </x:c>
      <x:c r="G157" s="55" t="str">
        <x:v>0940573Ch</x:v>
      </x:c>
      <x:c r="H157" s="55" t="str">
        <x:v>00000001h</x:v>
      </x:c>
      <x:c r="I157" s="55" t="str">
        <x:v>00000000h</x:v>
      </x:c>
      <x:c r="J157" s="55" t="str">
        <x:v>00000000h</x:v>
      </x:c>
      <x:c r="K157" s="55" t="str">
        <x:v>00000000h</x:v>
      </x:c>
      <x:c r="L157" s="61" t="str"/>
      <x:c r="M157" s="61" t="str">
        <x:v>Non résolu</x:v>
      </x:c>
      <x:c r="N157" s="61" t="str">
        <x:v>RAM2.dump / table statique LEVEL_01</x:v>
      </x:c>
    </x:row>
    <x:row r="158">
      <x:c r="A158" s="64" t="n">
        <x:v>152</x:v>
      </x:c>
      <x:c r="B158" s="64" t="n">
        <x:v>1</x:v>
      </x:c>
      <x:c r="C158" s="67" t="n">
        <x:v>0.1666666716337204</x:v>
      </x:c>
      <x:c r="D158" s="67" t="n">
        <x:f>IF(B158=2,C158/2,C158)</x:f>
        <x:v>0.1666666716337204</x:v>
      </x:c>
      <x:c r="E158" s="64" t="n">
        <x:v>0</x:v>
      </x:c>
      <x:c r="F158" s="64" t="n">
        <x:v>0</x:v>
      </x:c>
      <x:c r="G158" s="55" t="str">
        <x:v>0940574Ch</x:v>
      </x:c>
      <x:c r="H158" s="55" t="str">
        <x:v>00000001h</x:v>
      </x:c>
      <x:c r="I158" s="55" t="str">
        <x:v>3E2AAAABh</x:v>
      </x:c>
      <x:c r="J158" s="55" t="str">
        <x:v>00000000h</x:v>
      </x:c>
      <x:c r="K158" s="55" t="str">
        <x:v>00000000h</x:v>
      </x:c>
      <x:c r="L158" s="61" t="str"/>
      <x:c r="M158" s="61" t="str">
        <x:v>Non résolu</x:v>
      </x:c>
      <x:c r="N158" s="61" t="str">
        <x:v>RAM2.dump / table statique LEVEL_01</x:v>
      </x:c>
    </x:row>
    <x:row r="159">
      <x:c r="A159" s="64" t="n">
        <x:v>153</x:v>
      </x:c>
      <x:c r="B159" s="64" t="n">
        <x:v>1</x:v>
      </x:c>
      <x:c r="C159" s="67" t="n">
        <x:v>0.3333333432674408</x:v>
      </x:c>
      <x:c r="D159" s="67" t="n">
        <x:f>IF(B159=2,C159/2,C159)</x:f>
        <x:v>0.3333333432674408</x:v>
      </x:c>
      <x:c r="E159" s="64" t="n">
        <x:v>0</x:v>
      </x:c>
      <x:c r="F159" s="64" t="n">
        <x:v>0</x:v>
      </x:c>
      <x:c r="G159" s="55" t="str">
        <x:v>0940575Ch</x:v>
      </x:c>
      <x:c r="H159" s="55" t="str">
        <x:v>00000001h</x:v>
      </x:c>
      <x:c r="I159" s="55" t="str">
        <x:v>3EAAAAABh</x:v>
      </x:c>
      <x:c r="J159" s="55" t="str">
        <x:v>00000000h</x:v>
      </x:c>
      <x:c r="K159" s="55" t="str">
        <x:v>00000000h</x:v>
      </x:c>
      <x:c r="L159" s="61" t="str"/>
      <x:c r="M159" s="61" t="str">
        <x:v>Non résolu</x:v>
      </x:c>
      <x:c r="N159" s="61" t="str">
        <x:v>RAM2.dump / table statique LEVEL_01</x:v>
      </x:c>
    </x:row>
    <x:row r="160">
      <x:c r="A160" s="64" t="n">
        <x:v>154</x:v>
      </x:c>
      <x:c r="B160" s="64" t="n">
        <x:v>1</x:v>
      </x:c>
      <x:c r="C160" s="67" t="n">
        <x:v>0.6666666865348816</x:v>
      </x:c>
      <x:c r="D160" s="67" t="n">
        <x:f>IF(B160=2,C160/2,C160)</x:f>
        <x:v>0.6666666865348816</x:v>
      </x:c>
      <x:c r="E160" s="64" t="n">
        <x:v>0</x:v>
      </x:c>
      <x:c r="F160" s="64" t="n">
        <x:v>0</x:v>
      </x:c>
      <x:c r="G160" s="55" t="str">
        <x:v>0940576Ch</x:v>
      </x:c>
      <x:c r="H160" s="55" t="str">
        <x:v>00000001h</x:v>
      </x:c>
      <x:c r="I160" s="55" t="str">
        <x:v>3F2AAAABh</x:v>
      </x:c>
      <x:c r="J160" s="55" t="str">
        <x:v>00000000h</x:v>
      </x:c>
      <x:c r="K160" s="55" t="str">
        <x:v>00000000h</x:v>
      </x:c>
      <x:c r="L160" s="61" t="str"/>
      <x:c r="M160" s="61" t="str">
        <x:v>Non résolu</x:v>
      </x:c>
      <x:c r="N160" s="61" t="str">
        <x:v>RAM2.dump / table statique LEVEL_01</x:v>
      </x:c>
    </x:row>
    <x:row r="161">
      <x:c r="A161" s="64" t="n">
        <x:v>155</x:v>
      </x:c>
      <x:c r="B161" s="64" t="n">
        <x:v>1</x:v>
      </x:c>
      <x:c r="C161" s="67" t="n">
        <x:v>1.2000000476837158</x:v>
      </x:c>
      <x:c r="D161" s="67" t="n">
        <x:f>IF(B161=2,C161/2,C161)</x:f>
        <x:v>1.2000000476837158</x:v>
      </x:c>
      <x:c r="E161" s="64" t="n">
        <x:v>0</x:v>
      </x:c>
      <x:c r="F161" s="64" t="n">
        <x:v>0</x:v>
      </x:c>
      <x:c r="G161" s="55" t="str">
        <x:v>0940577Ch</x:v>
      </x:c>
      <x:c r="H161" s="55" t="str">
        <x:v>00000001h</x:v>
      </x:c>
      <x:c r="I161" s="55" t="str">
        <x:v>3F99999Ah</x:v>
      </x:c>
      <x:c r="J161" s="55" t="str">
        <x:v>00000000h</x:v>
      </x:c>
      <x:c r="K161" s="55" t="str">
        <x:v>00000000h</x:v>
      </x:c>
      <x:c r="L161" s="61" t="str"/>
      <x:c r="M161" s="61" t="str">
        <x:v>Non résolu</x:v>
      </x:c>
      <x:c r="N161" s="61" t="str">
        <x:v>RAM2.dump / table statique LEVEL_01</x:v>
      </x:c>
    </x:row>
    <x:row r="162">
      <x:c r="A162" s="64" t="n">
        <x:v>156</x:v>
      </x:c>
      <x:c r="B162" s="64" t="n">
        <x:v>1</x:v>
      </x:c>
      <x:c r="C162" s="67" t="n">
        <x:v>1.7333334684371948</x:v>
      </x:c>
      <x:c r="D162" s="67" t="n">
        <x:f>IF(B162=2,C162/2,C162)</x:f>
        <x:v>1.7333334684371948</x:v>
      </x:c>
      <x:c r="E162" s="64" t="n">
        <x:v>0</x:v>
      </x:c>
      <x:c r="F162" s="64" t="n">
        <x:v>0</x:v>
      </x:c>
      <x:c r="G162" s="55" t="str">
        <x:v>0940578Ch</x:v>
      </x:c>
      <x:c r="H162" s="55" t="str">
        <x:v>00000001h</x:v>
      </x:c>
      <x:c r="I162" s="55" t="str">
        <x:v>3FDDDDDFh</x:v>
      </x:c>
      <x:c r="J162" s="55" t="str">
        <x:v>00000000h</x:v>
      </x:c>
      <x:c r="K162" s="55" t="str">
        <x:v>00000000h</x:v>
      </x:c>
      <x:c r="L162" s="61" t="str"/>
      <x:c r="M162" s="61" t="str">
        <x:v>Non résolu</x:v>
      </x:c>
      <x:c r="N162" s="61" t="str">
        <x:v>RAM2.dump / table statique LEVEL_01</x:v>
      </x:c>
    </x:row>
    <x:row r="163">
      <x:c r="A163" s="64" t="n">
        <x:v>157</x:v>
      </x:c>
      <x:c r="B163" s="64" t="n">
        <x:v>0</x:v>
      </x:c>
      <x:c r="C163" s="67" t="n">
        <x:v>1200</x:v>
      </x:c>
      <x:c r="D163" s="67" t="n">
        <x:f>IF(B163=2,C163/2,C163)</x:f>
        <x:v>1200</x:v>
      </x:c>
      <x:c r="E163" s="64" t="n">
        <x:v>0</x:v>
      </x:c>
      <x:c r="F163" s="64" t="n">
        <x:v>3</x:v>
      </x:c>
      <x:c r="G163" s="55" t="str">
        <x:v>0940579Ch</x:v>
      </x:c>
      <x:c r="H163" s="55" t="str">
        <x:v>00000000h</x:v>
      </x:c>
      <x:c r="I163" s="55" t="str">
        <x:v>44960000h</x:v>
      </x:c>
      <x:c r="J163" s="55" t="str">
        <x:v>00000000h</x:v>
      </x:c>
      <x:c r="K163" s="55" t="str">
        <x:v>00000003h</x:v>
      </x:c>
      <x:c r="L163" s="61" t="str"/>
      <x:c r="M163" s="61" t="str">
        <x:v>Non résolu</x:v>
      </x:c>
      <x:c r="N163" s="61" t="str">
        <x:v>RAM2.dump / table statique LEVEL_01</x:v>
      </x:c>
    </x:row>
    <x:row r="164">
      <x:c r="A164" s="64" t="n">
        <x:v>158</x:v>
      </x:c>
      <x:c r="B164" s="64" t="n">
        <x:v>0</x:v>
      </x:c>
      <x:c r="C164" s="67" t="n">
        <x:v>21</x:v>
      </x:c>
      <x:c r="D164" s="67" t="n">
        <x:f>IF(B164=2,C164/2,C164)</x:f>
        <x:v>21</x:v>
      </x:c>
      <x:c r="E164" s="64" t="n">
        <x:v>1</x:v>
      </x:c>
      <x:c r="F164" s="64" t="n">
        <x:v>3</x:v>
      </x:c>
      <x:c r="G164" s="55" t="str">
        <x:v>094057ACh</x:v>
      </x:c>
      <x:c r="H164" s="55" t="str">
        <x:v>00000000h</x:v>
      </x:c>
      <x:c r="I164" s="55" t="str">
        <x:v>41A80000h</x:v>
      </x:c>
      <x:c r="J164" s="55" t="str">
        <x:v>00000001h</x:v>
      </x:c>
      <x:c r="K164" s="55" t="str">
        <x:v>00000003h</x:v>
      </x:c>
      <x:c r="L164" s="61" t="str">
        <x:v>Mine de Sniper — Impact A</x:v>
      </x:c>
      <x:c r="M164" s="61" t="str">
        <x:v>Élevée</x:v>
      </x:c>
      <x:c r="N164" s="61" t="str">
        <x:v>RAM2.dump / table statique LEVEL_01</x:v>
      </x:c>
    </x:row>
    <x:row r="165">
      <x:c r="A165" s="64" t="n">
        <x:v>159</x:v>
      </x:c>
      <x:c r="B165" s="64" t="n">
        <x:v>0</x:v>
      </x:c>
      <x:c r="C165" s="67" t="n">
        <x:v>32</x:v>
      </x:c>
      <x:c r="D165" s="67" t="n">
        <x:f>IF(B165=2,C165/2,C165)</x:f>
        <x:v>32</x:v>
      </x:c>
      <x:c r="E165" s="64" t="n">
        <x:v>1</x:v>
      </x:c>
      <x:c r="F165" s="64" t="n">
        <x:v>3</x:v>
      </x:c>
      <x:c r="G165" s="55" t="str">
        <x:v>094057BCh</x:v>
      </x:c>
      <x:c r="H165" s="55" t="str">
        <x:v>00000000h</x:v>
      </x:c>
      <x:c r="I165" s="55" t="str">
        <x:v>42000000h</x:v>
      </x:c>
      <x:c r="J165" s="55" t="str">
        <x:v>00000001h</x:v>
      </x:c>
      <x:c r="K165" s="55" t="str">
        <x:v>00000003h</x:v>
      </x:c>
      <x:c r="L165" s="61" t="str">
        <x:v>Mine de Sniper — Impact A</x:v>
      </x:c>
      <x:c r="M165" s="61" t="str">
        <x:v>Élevée</x:v>
      </x:c>
      <x:c r="N165" s="61" t="str">
        <x:v>RAM2.dump / table statique LEVEL_01</x:v>
      </x:c>
    </x:row>
    <x:row r="166">
      <x:c r="A166" s="64" t="n">
        <x:v>160</x:v>
      </x:c>
      <x:c r="B166" s="64" t="n">
        <x:v>0</x:v>
      </x:c>
      <x:c r="C166" s="67" t="n">
        <x:v>43</x:v>
      </x:c>
      <x:c r="D166" s="67" t="n">
        <x:f>IF(B166=2,C166/2,C166)</x:f>
        <x:v>43</x:v>
      </x:c>
      <x:c r="E166" s="64" t="n">
        <x:v>1</x:v>
      </x:c>
      <x:c r="F166" s="64" t="n">
        <x:v>3</x:v>
      </x:c>
      <x:c r="G166" s="55" t="str">
        <x:v>094057CCh</x:v>
      </x:c>
      <x:c r="H166" s="55" t="str">
        <x:v>00000000h</x:v>
      </x:c>
      <x:c r="I166" s="55" t="str">
        <x:v>422C0000h</x:v>
      </x:c>
      <x:c r="J166" s="55" t="str">
        <x:v>00000001h</x:v>
      </x:c>
      <x:c r="K166" s="55" t="str">
        <x:v>00000003h</x:v>
      </x:c>
      <x:c r="L166" s="61" t="str">
        <x:v>Mine de Sniper — Impact A</x:v>
      </x:c>
      <x:c r="M166" s="61" t="str">
        <x:v>Élevée</x:v>
      </x:c>
      <x:c r="N166" s="61" t="str">
        <x:v>RAM2.dump / table statique LEVEL_01</x:v>
      </x:c>
    </x:row>
    <x:row r="167">
      <x:c r="A167" s="64" t="n">
        <x:v>161</x:v>
      </x:c>
      <x:c r="B167" s="64" t="n">
        <x:v>0</x:v>
      </x:c>
      <x:c r="C167" s="67" t="n">
        <x:v>54</x:v>
      </x:c>
      <x:c r="D167" s="67" t="n">
        <x:f>IF(B167=2,C167/2,C167)</x:f>
        <x:v>54</x:v>
      </x:c>
      <x:c r="E167" s="64" t="n">
        <x:v>1</x:v>
      </x:c>
      <x:c r="F167" s="64" t="n">
        <x:v>3</x:v>
      </x:c>
      <x:c r="G167" s="55" t="str">
        <x:v>094057DCh</x:v>
      </x:c>
      <x:c r="H167" s="55" t="str">
        <x:v>00000000h</x:v>
      </x:c>
      <x:c r="I167" s="55" t="str">
        <x:v>42580000h</x:v>
      </x:c>
      <x:c r="J167" s="55" t="str">
        <x:v>00000001h</x:v>
      </x:c>
      <x:c r="K167" s="55" t="str">
        <x:v>00000003h</x:v>
      </x:c>
      <x:c r="L167" s="61" t="str">
        <x:v>Mine de Sniper — Impact A</x:v>
      </x:c>
      <x:c r="M167" s="61" t="str">
        <x:v>Élevée</x:v>
      </x:c>
      <x:c r="N167" s="61" t="str">
        <x:v>RAM2.dump / table statique LEVEL_01</x:v>
      </x:c>
    </x:row>
    <x:row r="168">
      <x:c r="A168" s="64" t="n">
        <x:v>162</x:v>
      </x:c>
      <x:c r="B168" s="64" t="n">
        <x:v>0</x:v>
      </x:c>
      <x:c r="C168" s="67" t="n">
        <x:v>76</x:v>
      </x:c>
      <x:c r="D168" s="67" t="n">
        <x:f>IF(B168=2,C168/2,C168)</x:f>
        <x:v>76</x:v>
      </x:c>
      <x:c r="E168" s="64" t="n">
        <x:v>1</x:v>
      </x:c>
      <x:c r="F168" s="64" t="n">
        <x:v>3</x:v>
      </x:c>
      <x:c r="G168" s="55" t="str">
        <x:v>094057ECh</x:v>
      </x:c>
      <x:c r="H168" s="55" t="str">
        <x:v>00000000h</x:v>
      </x:c>
      <x:c r="I168" s="55" t="str">
        <x:v>42980000h</x:v>
      </x:c>
      <x:c r="J168" s="55" t="str">
        <x:v>00000001h</x:v>
      </x:c>
      <x:c r="K168" s="55" t="str">
        <x:v>00000003h</x:v>
      </x:c>
      <x:c r="L168" s="61" t="str">
        <x:v>Mine de Sniper — Impact A</x:v>
      </x:c>
      <x:c r="M168" s="61" t="str">
        <x:v>Élevée</x:v>
      </x:c>
      <x:c r="N168" s="61" t="str">
        <x:v>RAM2.dump / table statique LEVEL_01</x:v>
      </x:c>
    </x:row>
    <x:row r="169">
      <x:c r="A169" s="64" t="n">
        <x:v>163</x:v>
      </x:c>
      <x:c r="B169" s="64" t="n">
        <x:v>0</x:v>
      </x:c>
      <x:c r="C169" s="67" t="n">
        <x:v>110</x:v>
      </x:c>
      <x:c r="D169" s="67" t="n">
        <x:f>IF(B169=2,C169/2,C169)</x:f>
        <x:v>110</x:v>
      </x:c>
      <x:c r="E169" s="64" t="n">
        <x:v>1</x:v>
      </x:c>
      <x:c r="F169" s="64" t="n">
        <x:v>3</x:v>
      </x:c>
      <x:c r="G169" s="55" t="str">
        <x:v>094057FCh</x:v>
      </x:c>
      <x:c r="H169" s="55" t="str">
        <x:v>00000000h</x:v>
      </x:c>
      <x:c r="I169" s="55" t="str">
        <x:v>42DC0000h</x:v>
      </x:c>
      <x:c r="J169" s="55" t="str">
        <x:v>00000001h</x:v>
      </x:c>
      <x:c r="K169" s="55" t="str">
        <x:v>00000003h</x:v>
      </x:c>
      <x:c r="L169" s="61" t="str">
        <x:v>Mine de Sniper — Impact A</x:v>
      </x:c>
      <x:c r="M169" s="61" t="str">
        <x:v>Élevée</x:v>
      </x:c>
      <x:c r="N169" s="61" t="str">
        <x:v>RAM2.dump / table statique LEVEL_01</x:v>
      </x:c>
    </x:row>
    <x:row r="170">
      <x:c r="A170" s="64" t="n">
        <x:v>164</x:v>
      </x:c>
      <x:c r="B170" s="64" t="n">
        <x:v>0</x:v>
      </x:c>
      <x:c r="C170" s="67" t="n">
        <x:v>155</x:v>
      </x:c>
      <x:c r="D170" s="67" t="n">
        <x:f>IF(B170=2,C170/2,C170)</x:f>
        <x:v>155</x:v>
      </x:c>
      <x:c r="E170" s="64" t="n">
        <x:v>1</x:v>
      </x:c>
      <x:c r="F170" s="64" t="n">
        <x:v>3</x:v>
      </x:c>
      <x:c r="G170" s="55" t="str">
        <x:v>0940580Ch</x:v>
      </x:c>
      <x:c r="H170" s="55" t="str">
        <x:v>00000000h</x:v>
      </x:c>
      <x:c r="I170" s="55" t="str">
        <x:v>431B0000h</x:v>
      </x:c>
      <x:c r="J170" s="55" t="str">
        <x:v>00000001h</x:v>
      </x:c>
      <x:c r="K170" s="55" t="str">
        <x:v>00000003h</x:v>
      </x:c>
      <x:c r="L170" s="61" t="str">
        <x:v>Mine de Sniper — Impact A</x:v>
      </x:c>
      <x:c r="M170" s="61" t="str">
        <x:v>Élevée</x:v>
      </x:c>
      <x:c r="N170" s="61" t="str">
        <x:v>RAM2.dump / table statique LEVEL_01</x:v>
      </x:c>
    </x:row>
    <x:row r="171">
      <x:c r="A171" s="64" t="n">
        <x:v>165</x:v>
      </x:c>
      <x:c r="B171" s="64" t="n">
        <x:v>0</x:v>
      </x:c>
      <x:c r="C171" s="67" t="n">
        <x:v>240</x:v>
      </x:c>
      <x:c r="D171" s="67" t="n">
        <x:f>IF(B171=2,C171/2,C171)</x:f>
        <x:v>240</x:v>
      </x:c>
      <x:c r="E171" s="64" t="n">
        <x:v>1</x:v>
      </x:c>
      <x:c r="F171" s="64" t="n">
        <x:v>3</x:v>
      </x:c>
      <x:c r="G171" s="55" t="str">
        <x:v>0940581Ch</x:v>
      </x:c>
      <x:c r="H171" s="55" t="str">
        <x:v>00000000h</x:v>
      </x:c>
      <x:c r="I171" s="55" t="str">
        <x:v>43700000h</x:v>
      </x:c>
      <x:c r="J171" s="55" t="str">
        <x:v>00000001h</x:v>
      </x:c>
      <x:c r="K171" s="55" t="str">
        <x:v>00000003h</x:v>
      </x:c>
      <x:c r="L171" s="61" t="str">
        <x:v>Mine de Sniper — Impact A</x:v>
      </x:c>
      <x:c r="M171" s="61" t="str">
        <x:v>Élevée</x:v>
      </x:c>
      <x:c r="N171" s="61" t="str">
        <x:v>RAM2.dump / table statique LEVEL_01</x:v>
      </x:c>
    </x:row>
    <x:row r="172">
      <x:c r="A172" s="64" t="n">
        <x:v>166</x:v>
      </x:c>
      <x:c r="B172" s="64" t="n">
        <x:v>0</x:v>
      </x:c>
      <x:c r="C172" s="67" t="n">
        <x:v>32</x:v>
      </x:c>
      <x:c r="D172" s="67" t="n">
        <x:f>IF(B172=2,C172/2,C172)</x:f>
        <x:v>32</x:v>
      </x:c>
      <x:c r="E172" s="64" t="n">
        <x:v>1</x:v>
      </x:c>
      <x:c r="F172" s="64" t="n">
        <x:v>3</x:v>
      </x:c>
      <x:c r="G172" s="55" t="str">
        <x:v>0940582Ch</x:v>
      </x:c>
      <x:c r="H172" s="55" t="str">
        <x:v>00000000h</x:v>
      </x:c>
      <x:c r="I172" s="55" t="str">
        <x:v>42000000h</x:v>
      </x:c>
      <x:c r="J172" s="55" t="str">
        <x:v>00000001h</x:v>
      </x:c>
      <x:c r="K172" s="55" t="str">
        <x:v>00000003h</x:v>
      </x:c>
      <x:c r="L172" s="61" t="str">
        <x:v>Mine de Sniper — Impact B</x:v>
      </x:c>
      <x:c r="M172" s="61" t="str">
        <x:v>Élevée</x:v>
      </x:c>
      <x:c r="N172" s="61" t="str">
        <x:v>RAM2.dump / table statique LEVEL_01</x:v>
      </x:c>
    </x:row>
    <x:row r="173">
      <x:c r="A173" s="64" t="n">
        <x:v>167</x:v>
      </x:c>
      <x:c r="B173" s="64" t="n">
        <x:v>0</x:v>
      </x:c>
      <x:c r="C173" s="67" t="n">
        <x:v>48</x:v>
      </x:c>
      <x:c r="D173" s="67" t="n">
        <x:f>IF(B173=2,C173/2,C173)</x:f>
        <x:v>48</x:v>
      </x:c>
      <x:c r="E173" s="64" t="n">
        <x:v>1</x:v>
      </x:c>
      <x:c r="F173" s="64" t="n">
        <x:v>3</x:v>
      </x:c>
      <x:c r="G173" s="55" t="str">
        <x:v>0940583Ch</x:v>
      </x:c>
      <x:c r="H173" s="55" t="str">
        <x:v>00000000h</x:v>
      </x:c>
      <x:c r="I173" s="55" t="str">
        <x:v>42400000h</x:v>
      </x:c>
      <x:c r="J173" s="55" t="str">
        <x:v>00000001h</x:v>
      </x:c>
      <x:c r="K173" s="55" t="str">
        <x:v>00000003h</x:v>
      </x:c>
      <x:c r="L173" s="61" t="str">
        <x:v>Mine de Sniper — Impact B</x:v>
      </x:c>
      <x:c r="M173" s="61" t="str">
        <x:v>Élevée</x:v>
      </x:c>
      <x:c r="N173" s="61" t="str">
        <x:v>RAM2.dump / table statique LEVEL_01</x:v>
      </x:c>
    </x:row>
    <x:row r="174">
      <x:c r="A174" s="64" t="n">
        <x:v>168</x:v>
      </x:c>
      <x:c r="B174" s="64" t="n">
        <x:v>0</x:v>
      </x:c>
      <x:c r="C174" s="67" t="n">
        <x:v>64</x:v>
      </x:c>
      <x:c r="D174" s="67" t="n">
        <x:f>IF(B174=2,C174/2,C174)</x:f>
        <x:v>64</x:v>
      </x:c>
      <x:c r="E174" s="64" t="n">
        <x:v>1</x:v>
      </x:c>
      <x:c r="F174" s="64" t="n">
        <x:v>3</x:v>
      </x:c>
      <x:c r="G174" s="55" t="str">
        <x:v>0940584Ch</x:v>
      </x:c>
      <x:c r="H174" s="55" t="str">
        <x:v>00000000h</x:v>
      </x:c>
      <x:c r="I174" s="55" t="str">
        <x:v>42800000h</x:v>
      </x:c>
      <x:c r="J174" s="55" t="str">
        <x:v>00000001h</x:v>
      </x:c>
      <x:c r="K174" s="55" t="str">
        <x:v>00000003h</x:v>
      </x:c>
      <x:c r="L174" s="61" t="str">
        <x:v>Mine de Sniper — Impact B</x:v>
      </x:c>
      <x:c r="M174" s="61" t="str">
        <x:v>Élevée</x:v>
      </x:c>
      <x:c r="N174" s="61" t="str">
        <x:v>RAM2.dump / table statique LEVEL_01</x:v>
      </x:c>
    </x:row>
    <x:row r="175">
      <x:c r="A175" s="64" t="n">
        <x:v>169</x:v>
      </x:c>
      <x:c r="B175" s="64" t="n">
        <x:v>0</x:v>
      </x:c>
      <x:c r="C175" s="67" t="n">
        <x:v>80</x:v>
      </x:c>
      <x:c r="D175" s="67" t="n">
        <x:f>IF(B175=2,C175/2,C175)</x:f>
        <x:v>80</x:v>
      </x:c>
      <x:c r="E175" s="64" t="n">
        <x:v>1</x:v>
      </x:c>
      <x:c r="F175" s="64" t="n">
        <x:v>3</x:v>
      </x:c>
      <x:c r="G175" s="55" t="str">
        <x:v>0940585Ch</x:v>
      </x:c>
      <x:c r="H175" s="55" t="str">
        <x:v>00000000h</x:v>
      </x:c>
      <x:c r="I175" s="55" t="str">
        <x:v>42A00000h</x:v>
      </x:c>
      <x:c r="J175" s="55" t="str">
        <x:v>00000001h</x:v>
      </x:c>
      <x:c r="K175" s="55" t="str">
        <x:v>00000003h</x:v>
      </x:c>
      <x:c r="L175" s="61" t="str">
        <x:v>Mine de Sniper — Impact B</x:v>
      </x:c>
      <x:c r="M175" s="61" t="str">
        <x:v>Élevée</x:v>
      </x:c>
      <x:c r="N175" s="61" t="str">
        <x:v>RAM2.dump / table statique LEVEL_01</x:v>
      </x:c>
    </x:row>
    <x:row r="176">
      <x:c r="A176" s="64" t="n">
        <x:v>170</x:v>
      </x:c>
      <x:c r="B176" s="64" t="n">
        <x:v>0</x:v>
      </x:c>
      <x:c r="C176" s="67" t="n">
        <x:v>114</x:v>
      </x:c>
      <x:c r="D176" s="67" t="n">
        <x:f>IF(B176=2,C176/2,C176)</x:f>
        <x:v>114</x:v>
      </x:c>
      <x:c r="E176" s="64" t="n">
        <x:v>1</x:v>
      </x:c>
      <x:c r="F176" s="64" t="n">
        <x:v>3</x:v>
      </x:c>
      <x:c r="G176" s="55" t="str">
        <x:v>0940586Ch</x:v>
      </x:c>
      <x:c r="H176" s="55" t="str">
        <x:v>00000000h</x:v>
      </x:c>
      <x:c r="I176" s="55" t="str">
        <x:v>42E40000h</x:v>
      </x:c>
      <x:c r="J176" s="55" t="str">
        <x:v>00000001h</x:v>
      </x:c>
      <x:c r="K176" s="55" t="str">
        <x:v>00000003h</x:v>
      </x:c>
      <x:c r="L176" s="61" t="str">
        <x:v>Mine de Sniper — Impact B</x:v>
      </x:c>
      <x:c r="M176" s="61" t="str">
        <x:v>Élevée</x:v>
      </x:c>
      <x:c r="N176" s="61" t="str">
        <x:v>RAM2.dump / table statique LEVEL_01</x:v>
      </x:c>
    </x:row>
    <x:row r="177">
      <x:c r="A177" s="64" t="n">
        <x:v>171</x:v>
      </x:c>
      <x:c r="B177" s="64" t="n">
        <x:v>0</x:v>
      </x:c>
      <x:c r="C177" s="67" t="n">
        <x:v>165</x:v>
      </x:c>
      <x:c r="D177" s="67" t="n">
        <x:f>IF(B177=2,C177/2,C177)</x:f>
        <x:v>165</x:v>
      </x:c>
      <x:c r="E177" s="64" t="n">
        <x:v>1</x:v>
      </x:c>
      <x:c r="F177" s="64" t="n">
        <x:v>3</x:v>
      </x:c>
      <x:c r="G177" s="55" t="str">
        <x:v>0940587Ch</x:v>
      </x:c>
      <x:c r="H177" s="55" t="str">
        <x:v>00000000h</x:v>
      </x:c>
      <x:c r="I177" s="55" t="str">
        <x:v>43250000h</x:v>
      </x:c>
      <x:c r="J177" s="55" t="str">
        <x:v>00000001h</x:v>
      </x:c>
      <x:c r="K177" s="55" t="str">
        <x:v>00000003h</x:v>
      </x:c>
      <x:c r="L177" s="61" t="str">
        <x:v>Mine de Sniper — Impact B</x:v>
      </x:c>
      <x:c r="M177" s="61" t="str">
        <x:v>Élevée</x:v>
      </x:c>
      <x:c r="N177" s="61" t="str">
        <x:v>RAM2.dump / table statique LEVEL_01</x:v>
      </x:c>
    </x:row>
    <x:row r="178">
      <x:c r="A178" s="64" t="n">
        <x:v>172</x:v>
      </x:c>
      <x:c r="B178" s="64" t="n">
        <x:v>0</x:v>
      </x:c>
      <x:c r="C178" s="67" t="n">
        <x:v>232.5</x:v>
      </x:c>
      <x:c r="D178" s="67" t="n">
        <x:f>IF(B178=2,C178/2,C178)</x:f>
        <x:v>232.5</x:v>
      </x:c>
      <x:c r="E178" s="64" t="n">
        <x:v>1</x:v>
      </x:c>
      <x:c r="F178" s="64" t="n">
        <x:v>3</x:v>
      </x:c>
      <x:c r="G178" s="55" t="str">
        <x:v>0940588Ch</x:v>
      </x:c>
      <x:c r="H178" s="55" t="str">
        <x:v>00000000h</x:v>
      </x:c>
      <x:c r="I178" s="55" t="str">
        <x:v>43688000h</x:v>
      </x:c>
      <x:c r="J178" s="55" t="str">
        <x:v>00000001h</x:v>
      </x:c>
      <x:c r="K178" s="55" t="str">
        <x:v>00000003h</x:v>
      </x:c>
      <x:c r="L178" s="61" t="str">
        <x:v>Mine de Sniper — Impact B</x:v>
      </x:c>
      <x:c r="M178" s="61" t="str">
        <x:v>Élevée</x:v>
      </x:c>
      <x:c r="N178" s="61" t="str">
        <x:v>RAM2.dump / table statique LEVEL_01</x:v>
      </x:c>
    </x:row>
    <x:row r="179">
      <x:c r="A179" s="64" t="n">
        <x:v>173</x:v>
      </x:c>
      <x:c r="B179" s="64" t="n">
        <x:v>0</x:v>
      </x:c>
      <x:c r="C179" s="67" t="n">
        <x:v>360</x:v>
      </x:c>
      <x:c r="D179" s="67" t="n">
        <x:f>IF(B179=2,C179/2,C179)</x:f>
        <x:v>360</x:v>
      </x:c>
      <x:c r="E179" s="64" t="n">
        <x:v>1</x:v>
      </x:c>
      <x:c r="F179" s="64" t="n">
        <x:v>3</x:v>
      </x:c>
      <x:c r="G179" s="55" t="str">
        <x:v>0940589Ch</x:v>
      </x:c>
      <x:c r="H179" s="55" t="str">
        <x:v>00000000h</x:v>
      </x:c>
      <x:c r="I179" s="55" t="str">
        <x:v>43B40000h</x:v>
      </x:c>
      <x:c r="J179" s="55" t="str">
        <x:v>00000001h</x:v>
      </x:c>
      <x:c r="K179" s="55" t="str">
        <x:v>00000003h</x:v>
      </x:c>
      <x:c r="L179" s="61" t="str">
        <x:v>Mine de Sniper — Impact B</x:v>
      </x:c>
      <x:c r="M179" s="61" t="str">
        <x:v>Élevée</x:v>
      </x:c>
      <x:c r="N179" s="61" t="str">
        <x:v>RAM2.dump / table statique LEVEL_01</x:v>
      </x:c>
    </x:row>
    <x:row r="180">
      <x:c r="A180" s="64" t="n">
        <x:v>174</x:v>
      </x:c>
      <x:c r="B180" s="64" t="n">
        <x:v>0</x:v>
      </x:c>
      <x:c r="C180" s="67" t="n">
        <x:v>10.5</x:v>
      </x:c>
      <x:c r="D180" s="67" t="n">
        <x:f>IF(B180=2,C180/2,C180)</x:f>
        <x:v>10.5</x:v>
      </x:c>
      <x:c r="E180" s="64" t="n">
        <x:v>0</x:v>
      </x:c>
      <x:c r="F180" s="64" t="n">
        <x:v>2</x:v>
      </x:c>
      <x:c r="G180" s="55" t="str">
        <x:v>094058ACh</x:v>
      </x:c>
      <x:c r="H180" s="55" t="str">
        <x:v>00000000h</x:v>
      </x:c>
      <x:c r="I180" s="55" t="str">
        <x:v>41280000h</x:v>
      </x:c>
      <x:c r="J180" s="55" t="str">
        <x:v>00000000h</x:v>
      </x:c>
      <x:c r="K180" s="55" t="str">
        <x:v>00000002h</x:v>
      </x:c>
      <x:c r="L180" s="61" t="str">
        <x:v>Mine de Sniper — Mine / secondaire</x:v>
      </x:c>
      <x:c r="M180" s="61" t="str">
        <x:v>Moyenne</x:v>
      </x:c>
      <x:c r="N180" s="61" t="str">
        <x:v>RAM2.dump / table statique LEVEL_01</x:v>
      </x:c>
    </x:row>
    <x:row r="181">
      <x:c r="A181" s="64" t="n">
        <x:v>175</x:v>
      </x:c>
      <x:c r="B181" s="64" t="n">
        <x:v>0</x:v>
      </x:c>
      <x:c r="C181" s="67" t="n">
        <x:v>16</x:v>
      </x:c>
      <x:c r="D181" s="67" t="n">
        <x:f>IF(B181=2,C181/2,C181)</x:f>
        <x:v>16</x:v>
      </x:c>
      <x:c r="E181" s="64" t="n">
        <x:v>0</x:v>
      </x:c>
      <x:c r="F181" s="64" t="n">
        <x:v>2</x:v>
      </x:c>
      <x:c r="G181" s="55" t="str">
        <x:v>094058BCh</x:v>
      </x:c>
      <x:c r="H181" s="55" t="str">
        <x:v>00000000h</x:v>
      </x:c>
      <x:c r="I181" s="55" t="str">
        <x:v>41800000h</x:v>
      </x:c>
      <x:c r="J181" s="55" t="str">
        <x:v>00000000h</x:v>
      </x:c>
      <x:c r="K181" s="55" t="str">
        <x:v>00000002h</x:v>
      </x:c>
      <x:c r="L181" s="61" t="str">
        <x:v>Mine de Sniper — Mine / secondaire</x:v>
      </x:c>
      <x:c r="M181" s="61" t="str">
        <x:v>Moyenne</x:v>
      </x:c>
      <x:c r="N181" s="61" t="str">
        <x:v>RAM2.dump / table statique LEVEL_01</x:v>
      </x:c>
    </x:row>
    <x:row r="182">
      <x:c r="A182" s="64" t="n">
        <x:v>176</x:v>
      </x:c>
      <x:c r="B182" s="64" t="n">
        <x:v>0</x:v>
      </x:c>
      <x:c r="C182" s="67" t="n">
        <x:v>21.5</x:v>
      </x:c>
      <x:c r="D182" s="67" t="n">
        <x:f>IF(B182=2,C182/2,C182)</x:f>
        <x:v>21.5</x:v>
      </x:c>
      <x:c r="E182" s="64" t="n">
        <x:v>0</x:v>
      </x:c>
      <x:c r="F182" s="64" t="n">
        <x:v>2</x:v>
      </x:c>
      <x:c r="G182" s="55" t="str">
        <x:v>094058CCh</x:v>
      </x:c>
      <x:c r="H182" s="55" t="str">
        <x:v>00000000h</x:v>
      </x:c>
      <x:c r="I182" s="55" t="str">
        <x:v>41AC0000h</x:v>
      </x:c>
      <x:c r="J182" s="55" t="str">
        <x:v>00000000h</x:v>
      </x:c>
      <x:c r="K182" s="55" t="str">
        <x:v>00000002h</x:v>
      </x:c>
      <x:c r="L182" s="61" t="str">
        <x:v>Mine de Sniper — Mine / secondaire</x:v>
      </x:c>
      <x:c r="M182" s="61" t="str">
        <x:v>Moyenne</x:v>
      </x:c>
      <x:c r="N182" s="61" t="str">
        <x:v>RAM2.dump / table statique LEVEL_01</x:v>
      </x:c>
    </x:row>
    <x:row r="183">
      <x:c r="A183" s="64" t="n">
        <x:v>177</x:v>
      </x:c>
      <x:c r="B183" s="64" t="n">
        <x:v>0</x:v>
      </x:c>
      <x:c r="C183" s="67" t="n">
        <x:v>26</x:v>
      </x:c>
      <x:c r="D183" s="67" t="n">
        <x:f>IF(B183=2,C183/2,C183)</x:f>
        <x:v>26</x:v>
      </x:c>
      <x:c r="E183" s="64" t="n">
        <x:v>0</x:v>
      </x:c>
      <x:c r="F183" s="64" t="n">
        <x:v>2</x:v>
      </x:c>
      <x:c r="G183" s="55" t="str">
        <x:v>094058DCh</x:v>
      </x:c>
      <x:c r="H183" s="55" t="str">
        <x:v>00000000h</x:v>
      </x:c>
      <x:c r="I183" s="55" t="str">
        <x:v>41D00000h</x:v>
      </x:c>
      <x:c r="J183" s="55" t="str">
        <x:v>00000000h</x:v>
      </x:c>
      <x:c r="K183" s="55" t="str">
        <x:v>00000002h</x:v>
      </x:c>
      <x:c r="L183" s="61" t="str">
        <x:v>Mine de Sniper — Mine / secondaire</x:v>
      </x:c>
      <x:c r="M183" s="61" t="str">
        <x:v>Moyenne</x:v>
      </x:c>
      <x:c r="N183" s="61" t="str">
        <x:v>RAM2.dump / table statique LEVEL_01</x:v>
      </x:c>
    </x:row>
    <x:row r="184">
      <x:c r="A184" s="64" t="n">
        <x:v>178</x:v>
      </x:c>
      <x:c r="B184" s="64" t="n">
        <x:v>0</x:v>
      </x:c>
      <x:c r="C184" s="67" t="n">
        <x:v>76</x:v>
      </x:c>
      <x:c r="D184" s="67" t="n">
        <x:f>IF(B184=2,C184/2,C184)</x:f>
        <x:v>76</x:v>
      </x:c>
      <x:c r="E184" s="64" t="n">
        <x:v>0</x:v>
      </x:c>
      <x:c r="F184" s="64" t="n">
        <x:v>2</x:v>
      </x:c>
      <x:c r="G184" s="55" t="str">
        <x:v>094058ECh</x:v>
      </x:c>
      <x:c r="H184" s="55" t="str">
        <x:v>00000000h</x:v>
      </x:c>
      <x:c r="I184" s="55" t="str">
        <x:v>42980000h</x:v>
      </x:c>
      <x:c r="J184" s="55" t="str">
        <x:v>00000000h</x:v>
      </x:c>
      <x:c r="K184" s="55" t="str">
        <x:v>00000002h</x:v>
      </x:c>
      <x:c r="L184" s="61" t="str">
        <x:v>Mine de Sniper — Mine / secondaire</x:v>
      </x:c>
      <x:c r="M184" s="61" t="str">
        <x:v>Moyenne</x:v>
      </x:c>
      <x:c r="N184" s="61" t="str">
        <x:v>RAM2.dump / table statique LEVEL_01</x:v>
      </x:c>
    </x:row>
    <x:row r="185">
      <x:c r="A185" s="64" t="n">
        <x:v>179</x:v>
      </x:c>
      <x:c r="B185" s="64" t="n">
        <x:v>0</x:v>
      </x:c>
      <x:c r="C185" s="67" t="n">
        <x:v>110</x:v>
      </x:c>
      <x:c r="D185" s="67" t="n">
        <x:f>IF(B185=2,C185/2,C185)</x:f>
        <x:v>110</x:v>
      </x:c>
      <x:c r="E185" s="64" t="n">
        <x:v>0</x:v>
      </x:c>
      <x:c r="F185" s="64" t="n">
        <x:v>2</x:v>
      </x:c>
      <x:c r="G185" s="55" t="str">
        <x:v>094058FCh</x:v>
      </x:c>
      <x:c r="H185" s="55" t="str">
        <x:v>00000000h</x:v>
      </x:c>
      <x:c r="I185" s="55" t="str">
        <x:v>42DC0000h</x:v>
      </x:c>
      <x:c r="J185" s="55" t="str">
        <x:v>00000000h</x:v>
      </x:c>
      <x:c r="K185" s="55" t="str">
        <x:v>00000002h</x:v>
      </x:c>
      <x:c r="L185" s="61" t="str">
        <x:v>Mine de Sniper — Mine / secondaire</x:v>
      </x:c>
      <x:c r="M185" s="61" t="str">
        <x:v>Moyenne</x:v>
      </x:c>
      <x:c r="N185" s="61" t="str">
        <x:v>RAM2.dump / table statique LEVEL_01</x:v>
      </x:c>
    </x:row>
    <x:row r="186">
      <x:c r="A186" s="64" t="n">
        <x:v>180</x:v>
      </x:c>
      <x:c r="B186" s="64" t="n">
        <x:v>0</x:v>
      </x:c>
      <x:c r="C186" s="67" t="n">
        <x:v>155</x:v>
      </x:c>
      <x:c r="D186" s="67" t="n">
        <x:f>IF(B186=2,C186/2,C186)</x:f>
        <x:v>155</x:v>
      </x:c>
      <x:c r="E186" s="64" t="n">
        <x:v>0</x:v>
      </x:c>
      <x:c r="F186" s="64" t="n">
        <x:v>2</x:v>
      </x:c>
      <x:c r="G186" s="55" t="str">
        <x:v>0940590Ch</x:v>
      </x:c>
      <x:c r="H186" s="55" t="str">
        <x:v>00000000h</x:v>
      </x:c>
      <x:c r="I186" s="55" t="str">
        <x:v>431B0000h</x:v>
      </x:c>
      <x:c r="J186" s="55" t="str">
        <x:v>00000000h</x:v>
      </x:c>
      <x:c r="K186" s="55" t="str">
        <x:v>00000002h</x:v>
      </x:c>
      <x:c r="L186" s="61" t="str">
        <x:v>Mine de Sniper — Mine / secondaire</x:v>
      </x:c>
      <x:c r="M186" s="61" t="str">
        <x:v>Moyenne</x:v>
      </x:c>
      <x:c r="N186" s="61" t="str">
        <x:v>RAM2.dump / table statique LEVEL_01</x:v>
      </x:c>
    </x:row>
    <x:row r="187">
      <x:c r="A187" s="64" t="n">
        <x:v>181</x:v>
      </x:c>
      <x:c r="B187" s="64" t="n">
        <x:v>0</x:v>
      </x:c>
      <x:c r="C187" s="67" t="n">
        <x:v>240</x:v>
      </x:c>
      <x:c r="D187" s="67" t="n">
        <x:f>IF(B187=2,C187/2,C187)</x:f>
        <x:v>240</x:v>
      </x:c>
      <x:c r="E187" s="64" t="n">
        <x:v>0</x:v>
      </x:c>
      <x:c r="F187" s="64" t="n">
        <x:v>2</x:v>
      </x:c>
      <x:c r="G187" s="55" t="str">
        <x:v>0940591Ch</x:v>
      </x:c>
      <x:c r="H187" s="55" t="str">
        <x:v>00000000h</x:v>
      </x:c>
      <x:c r="I187" s="55" t="str">
        <x:v>43700000h</x:v>
      </x:c>
      <x:c r="J187" s="55" t="str">
        <x:v>00000000h</x:v>
      </x:c>
      <x:c r="K187" s="55" t="str">
        <x:v>00000002h</x:v>
      </x:c>
      <x:c r="L187" s="61" t="str">
        <x:v>Mine de Sniper — Mine / secondaire</x:v>
      </x:c>
      <x:c r="M187" s="61" t="str">
        <x:v>Moyenne</x:v>
      </x:c>
      <x:c r="N187" s="61" t="str">
        <x:v>RAM2.dump / table statique LEVEL_01</x:v>
      </x:c>
    </x:row>
    <x:row r="188">
      <x:c r="A188" s="64" t="n">
        <x:v>182</x:v>
      </x:c>
      <x:c r="B188" s="64" t="n">
        <x:v>0</x:v>
      </x:c>
      <x:c r="C188" s="67" t="n">
        <x:v>9.600000381469727</x:v>
      </x:c>
      <x:c r="D188" s="67" t="n">
        <x:f>IF(B188=2,C188/2,C188)</x:f>
        <x:v>9.600000381469727</x:v>
      </x:c>
      <x:c r="E188" s="64" t="n">
        <x:v>1</x:v>
      </x:c>
      <x:c r="F188" s="64" t="n">
        <x:v>2</x:v>
      </x:c>
      <x:c r="G188" s="55" t="str">
        <x:v>0940592Ch</x:v>
      </x:c>
      <x:c r="H188" s="55" t="str">
        <x:v>00000000h</x:v>
      </x:c>
      <x:c r="I188" s="55" t="str">
        <x:v>4119999Ah</x:v>
      </x:c>
      <x:c r="J188" s="55" t="str">
        <x:v>00000001h</x:v>
      </x:c>
      <x:c r="K188" s="55" t="str">
        <x:v>00000002h</x:v>
      </x:c>
      <x:c r="L188" s="61" t="str">
        <x:v>Aspiro-Canon — Comète restituée A</x:v>
      </x:c>
      <x:c r="M188" s="61" t="str">
        <x:v>Élevée</x:v>
      </x:c>
      <x:c r="N188" s="61" t="str">
        <x:v>RAM2.dump / table statique LEVEL_01</x:v>
      </x:c>
    </x:row>
    <x:row r="189">
      <x:c r="A189" s="64" t="n">
        <x:v>183</x:v>
      </x:c>
      <x:c r="B189" s="64" t="n">
        <x:v>0</x:v>
      </x:c>
      <x:c r="C189" s="67" t="n">
        <x:v>15</x:v>
      </x:c>
      <x:c r="D189" s="67" t="n">
        <x:f>IF(B189=2,C189/2,C189)</x:f>
        <x:v>15</x:v>
      </x:c>
      <x:c r="E189" s="64" t="n">
        <x:v>1</x:v>
      </x:c>
      <x:c r="F189" s="64" t="n">
        <x:v>2</x:v>
      </x:c>
      <x:c r="G189" s="55" t="str">
        <x:v>0940593Ch</x:v>
      </x:c>
      <x:c r="H189" s="55" t="str">
        <x:v>00000000h</x:v>
      </x:c>
      <x:c r="I189" s="55" t="str">
        <x:v>41700000h</x:v>
      </x:c>
      <x:c r="J189" s="55" t="str">
        <x:v>00000001h</x:v>
      </x:c>
      <x:c r="K189" s="55" t="str">
        <x:v>00000002h</x:v>
      </x:c>
      <x:c r="L189" s="61" t="str">
        <x:v>Aspiro-Canon — Comète restituée A</x:v>
      </x:c>
      <x:c r="M189" s="61" t="str">
        <x:v>Élevée</x:v>
      </x:c>
      <x:c r="N189" s="61" t="str">
        <x:v>RAM2.dump / table statique LEVEL_01</x:v>
      </x:c>
    </x:row>
    <x:row r="190">
      <x:c r="A190" s="64" t="n">
        <x:v>184</x:v>
      </x:c>
      <x:c r="B190" s="64" t="n">
        <x:v>0</x:v>
      </x:c>
      <x:c r="C190" s="67" t="n">
        <x:v>32</x:v>
      </x:c>
      <x:c r="D190" s="67" t="n">
        <x:f>IF(B190=2,C190/2,C190)</x:f>
        <x:v>32</x:v>
      </x:c>
      <x:c r="E190" s="64" t="n">
        <x:v>1</x:v>
      </x:c>
      <x:c r="F190" s="64" t="n">
        <x:v>2</x:v>
      </x:c>
      <x:c r="G190" s="55" t="str">
        <x:v>0940594Ch</x:v>
      </x:c>
      <x:c r="H190" s="55" t="str">
        <x:v>00000000h</x:v>
      </x:c>
      <x:c r="I190" s="55" t="str">
        <x:v>42000000h</x:v>
      </x:c>
      <x:c r="J190" s="55" t="str">
        <x:v>00000001h</x:v>
      </x:c>
      <x:c r="K190" s="55" t="str">
        <x:v>00000002h</x:v>
      </x:c>
      <x:c r="L190" s="61" t="str">
        <x:v>Aspiro-Canon — Comète restituée A</x:v>
      </x:c>
      <x:c r="M190" s="61" t="str">
        <x:v>Élevée</x:v>
      </x:c>
      <x:c r="N190" s="61" t="str">
        <x:v>RAM2.dump / table statique LEVEL_01</x:v>
      </x:c>
    </x:row>
    <x:row r="191">
      <x:c r="A191" s="64" t="n">
        <x:v>185</x:v>
      </x:c>
      <x:c r="B191" s="64" t="n">
        <x:v>0</x:v>
      </x:c>
      <x:c r="C191" s="67" t="n">
        <x:v>38</x:v>
      </x:c>
      <x:c r="D191" s="67" t="n">
        <x:f>IF(B191=2,C191/2,C191)</x:f>
        <x:v>38</x:v>
      </x:c>
      <x:c r="E191" s="64" t="n">
        <x:v>1</x:v>
      </x:c>
      <x:c r="F191" s="64" t="n">
        <x:v>2</x:v>
      </x:c>
      <x:c r="G191" s="55" t="str">
        <x:v>0940595Ch</x:v>
      </x:c>
      <x:c r="H191" s="55" t="str">
        <x:v>00000000h</x:v>
      </x:c>
      <x:c r="I191" s="55" t="str">
        <x:v>42180000h</x:v>
      </x:c>
      <x:c r="J191" s="55" t="str">
        <x:v>00000001h</x:v>
      </x:c>
      <x:c r="K191" s="55" t="str">
        <x:v>00000002h</x:v>
      </x:c>
      <x:c r="L191" s="61" t="str">
        <x:v>Aspiro-Canon — Comète restituée A</x:v>
      </x:c>
      <x:c r="M191" s="61" t="str">
        <x:v>Élevée</x:v>
      </x:c>
      <x:c r="N191" s="61" t="str">
        <x:v>RAM2.dump / table statique LEVEL_01</x:v>
      </x:c>
    </x:row>
    <x:row r="192">
      <x:c r="A192" s="64" t="n">
        <x:v>186</x:v>
      </x:c>
      <x:c r="B192" s="64" t="n">
        <x:v>0</x:v>
      </x:c>
      <x:c r="C192" s="67" t="n">
        <x:v>80</x:v>
      </x:c>
      <x:c r="D192" s="67" t="n">
        <x:f>IF(B192=2,C192/2,C192)</x:f>
        <x:v>80</x:v>
      </x:c>
      <x:c r="E192" s="64" t="n">
        <x:v>1</x:v>
      </x:c>
      <x:c r="F192" s="64" t="n">
        <x:v>2</x:v>
      </x:c>
      <x:c r="G192" s="55" t="str">
        <x:v>0940596Ch</x:v>
      </x:c>
      <x:c r="H192" s="55" t="str">
        <x:v>00000000h</x:v>
      </x:c>
      <x:c r="I192" s="55" t="str">
        <x:v>42A00000h</x:v>
      </x:c>
      <x:c r="J192" s="55" t="str">
        <x:v>00000001h</x:v>
      </x:c>
      <x:c r="K192" s="55" t="str">
        <x:v>00000002h</x:v>
      </x:c>
      <x:c r="L192" s="61" t="str">
        <x:v>Aspiro-Canon — Comète restituée A</x:v>
      </x:c>
      <x:c r="M192" s="61" t="str">
        <x:v>Élevée</x:v>
      </x:c>
      <x:c r="N192" s="61" t="str">
        <x:v>RAM2.dump / table statique LEVEL_01</x:v>
      </x:c>
    </x:row>
    <x:row r="193">
      <x:c r="A193" s="64" t="n">
        <x:v>187</x:v>
      </x:c>
      <x:c r="B193" s="64" t="n">
        <x:v>0</x:v>
      </x:c>
      <x:c r="C193" s="67" t="n">
        <x:v>115</x:v>
      </x:c>
      <x:c r="D193" s="67" t="n">
        <x:f>IF(B193=2,C193/2,C193)</x:f>
        <x:v>115</x:v>
      </x:c>
      <x:c r="E193" s="64" t="n">
        <x:v>1</x:v>
      </x:c>
      <x:c r="F193" s="64" t="n">
        <x:v>2</x:v>
      </x:c>
      <x:c r="G193" s="55" t="str">
        <x:v>0940597Ch</x:v>
      </x:c>
      <x:c r="H193" s="55" t="str">
        <x:v>00000000h</x:v>
      </x:c>
      <x:c r="I193" s="55" t="str">
        <x:v>42E60000h</x:v>
      </x:c>
      <x:c r="J193" s="55" t="str">
        <x:v>00000001h</x:v>
      </x:c>
      <x:c r="K193" s="55" t="str">
        <x:v>00000002h</x:v>
      </x:c>
      <x:c r="L193" s="61" t="str">
        <x:v>Aspiro-Canon — Comète restituée A</x:v>
      </x:c>
      <x:c r="M193" s="61" t="str">
        <x:v>Élevée</x:v>
      </x:c>
      <x:c r="N193" s="61" t="str">
        <x:v>RAM2.dump / table statique LEVEL_01</x:v>
      </x:c>
    </x:row>
    <x:row r="194">
      <x:c r="A194" s="64" t="n">
        <x:v>188</x:v>
      </x:c>
      <x:c r="B194" s="64" t="n">
        <x:v>0</x:v>
      </x:c>
      <x:c r="C194" s="67" t="n">
        <x:v>157.5</x:v>
      </x:c>
      <x:c r="D194" s="67" t="n">
        <x:f>IF(B194=2,C194/2,C194)</x:f>
        <x:v>157.5</x:v>
      </x:c>
      <x:c r="E194" s="64" t="n">
        <x:v>1</x:v>
      </x:c>
      <x:c r="F194" s="64" t="n">
        <x:v>2</x:v>
      </x:c>
      <x:c r="G194" s="55" t="str">
        <x:v>0940598Ch</x:v>
      </x:c>
      <x:c r="H194" s="55" t="str">
        <x:v>00000000h</x:v>
      </x:c>
      <x:c r="I194" s="55" t="str">
        <x:v>431D8000h</x:v>
      </x:c>
      <x:c r="J194" s="55" t="str">
        <x:v>00000001h</x:v>
      </x:c>
      <x:c r="K194" s="55" t="str">
        <x:v>00000002h</x:v>
      </x:c>
      <x:c r="L194" s="61" t="str">
        <x:v>Aspiro-Canon — Comète restituée A</x:v>
      </x:c>
      <x:c r="M194" s="61" t="str">
        <x:v>Élevée</x:v>
      </x:c>
      <x:c r="N194" s="61" t="str">
        <x:v>RAM2.dump / table statique LEVEL_01</x:v>
      </x:c>
    </x:row>
    <x:row r="195">
      <x:c r="A195" s="64" t="n">
        <x:v>189</x:v>
      </x:c>
      <x:c r="B195" s="64" t="n">
        <x:v>0</x:v>
      </x:c>
      <x:c r="C195" s="67" t="n">
        <x:v>265</x:v>
      </x:c>
      <x:c r="D195" s="67" t="n">
        <x:f>IF(B195=2,C195/2,C195)</x:f>
        <x:v>265</x:v>
      </x:c>
      <x:c r="E195" s="64" t="n">
        <x:v>1</x:v>
      </x:c>
      <x:c r="F195" s="64" t="n">
        <x:v>2</x:v>
      </x:c>
      <x:c r="G195" s="55" t="str">
        <x:v>0940599Ch</x:v>
      </x:c>
      <x:c r="H195" s="55" t="str">
        <x:v>00000000h</x:v>
      </x:c>
      <x:c r="I195" s="55" t="str">
        <x:v>43848000h</x:v>
      </x:c>
      <x:c r="J195" s="55" t="str">
        <x:v>00000001h</x:v>
      </x:c>
      <x:c r="K195" s="55" t="str">
        <x:v>00000002h</x:v>
      </x:c>
      <x:c r="L195" s="61" t="str">
        <x:v>Aspiro-Canon — Comète restituée A</x:v>
      </x:c>
      <x:c r="M195" s="61" t="str">
        <x:v>Élevée</x:v>
      </x:c>
      <x:c r="N195" s="61" t="str">
        <x:v>RAM2.dump / table statique LEVEL_01</x:v>
      </x:c>
    </x:row>
    <x:row r="196">
      <x:c r="A196" s="64" t="n">
        <x:v>190</x:v>
      </x:c>
      <x:c r="B196" s="64" t="n">
        <x:v>0</x:v>
      </x:c>
      <x:c r="C196" s="67" t="n">
        <x:v>4.800000190734863</x:v>
      </x:c>
      <x:c r="D196" s="67" t="n">
        <x:f>IF(B196=2,C196/2,C196)</x:f>
        <x:v>4.800000190734863</x:v>
      </x:c>
      <x:c r="E196" s="64" t="n">
        <x:v>1</x:v>
      </x:c>
      <x:c r="F196" s="64" t="n">
        <x:v>2</x:v>
      </x:c>
      <x:c r="G196" s="55" t="str">
        <x:v>094059ACh</x:v>
      </x:c>
      <x:c r="H196" s="55" t="str">
        <x:v>00000000h</x:v>
      </x:c>
      <x:c r="I196" s="55" t="str">
        <x:v>4099999Ah</x:v>
      </x:c>
      <x:c r="J196" s="55" t="str">
        <x:v>00000001h</x:v>
      </x:c>
      <x:c r="K196" s="55" t="str">
        <x:v>00000002h</x:v>
      </x:c>
      <x:c r="L196" s="61" t="str">
        <x:v>Aspiro-Canon — Comète restituée B</x:v>
      </x:c>
      <x:c r="M196" s="61" t="str">
        <x:v>Élevée</x:v>
      </x:c>
      <x:c r="N196" s="61" t="str">
        <x:v>RAM2.dump / table statique LEVEL_01</x:v>
      </x:c>
    </x:row>
    <x:row r="197">
      <x:c r="A197" s="64" t="n">
        <x:v>191</x:v>
      </x:c>
      <x:c r="B197" s="64" t="n">
        <x:v>0</x:v>
      </x:c>
      <x:c r="C197" s="67" t="n">
        <x:v>7.5</x:v>
      </x:c>
      <x:c r="D197" s="67" t="n">
        <x:f>IF(B197=2,C197/2,C197)</x:f>
        <x:v>7.5</x:v>
      </x:c>
      <x:c r="E197" s="64" t="n">
        <x:v>1</x:v>
      </x:c>
      <x:c r="F197" s="64" t="n">
        <x:v>2</x:v>
      </x:c>
      <x:c r="G197" s="55" t="str">
        <x:v>094059BCh</x:v>
      </x:c>
      <x:c r="H197" s="55" t="str">
        <x:v>00000000h</x:v>
      </x:c>
      <x:c r="I197" s="55" t="str">
        <x:v>40F00000h</x:v>
      </x:c>
      <x:c r="J197" s="55" t="str">
        <x:v>00000001h</x:v>
      </x:c>
      <x:c r="K197" s="55" t="str">
        <x:v>00000002h</x:v>
      </x:c>
      <x:c r="L197" s="61" t="str">
        <x:v>Aspiro-Canon — Comète restituée B</x:v>
      </x:c>
      <x:c r="M197" s="61" t="str">
        <x:v>Élevée</x:v>
      </x:c>
      <x:c r="N197" s="61" t="str">
        <x:v>RAM2.dump / table statique LEVEL_01</x:v>
      </x:c>
    </x:row>
    <x:row r="198">
      <x:c r="A198" s="64" t="n">
        <x:v>192</x:v>
      </x:c>
      <x:c r="B198" s="64" t="n">
        <x:v>0</x:v>
      </x:c>
      <x:c r="C198" s="67" t="n">
        <x:v>16</x:v>
      </x:c>
      <x:c r="D198" s="67" t="n">
        <x:f>IF(B198=2,C198/2,C198)</x:f>
        <x:v>16</x:v>
      </x:c>
      <x:c r="E198" s="64" t="n">
        <x:v>1</x:v>
      </x:c>
      <x:c r="F198" s="64" t="n">
        <x:v>2</x:v>
      </x:c>
      <x:c r="G198" s="55" t="str">
        <x:v>094059CCh</x:v>
      </x:c>
      <x:c r="H198" s="55" t="str">
        <x:v>00000000h</x:v>
      </x:c>
      <x:c r="I198" s="55" t="str">
        <x:v>41800000h</x:v>
      </x:c>
      <x:c r="J198" s="55" t="str">
        <x:v>00000001h</x:v>
      </x:c>
      <x:c r="K198" s="55" t="str">
        <x:v>00000002h</x:v>
      </x:c>
      <x:c r="L198" s="61" t="str">
        <x:v>Aspiro-Canon — Comète restituée B</x:v>
      </x:c>
      <x:c r="M198" s="61" t="str">
        <x:v>Élevée</x:v>
      </x:c>
      <x:c r="N198" s="61" t="str">
        <x:v>RAM2.dump / table statique LEVEL_01</x:v>
      </x:c>
    </x:row>
    <x:row r="199">
      <x:c r="A199" s="64" t="n">
        <x:v>193</x:v>
      </x:c>
      <x:c r="B199" s="64" t="n">
        <x:v>0</x:v>
      </x:c>
      <x:c r="C199" s="67" t="n">
        <x:v>32</x:v>
      </x:c>
      <x:c r="D199" s="67" t="n">
        <x:f>IF(B199=2,C199/2,C199)</x:f>
        <x:v>32</x:v>
      </x:c>
      <x:c r="E199" s="64" t="n">
        <x:v>1</x:v>
      </x:c>
      <x:c r="F199" s="64" t="n">
        <x:v>2</x:v>
      </x:c>
      <x:c r="G199" s="55" t="str">
        <x:v>094059DCh</x:v>
      </x:c>
      <x:c r="H199" s="55" t="str">
        <x:v>00000000h</x:v>
      </x:c>
      <x:c r="I199" s="55" t="str">
        <x:v>42000000h</x:v>
      </x:c>
      <x:c r="J199" s="55" t="str">
        <x:v>00000001h</x:v>
      </x:c>
      <x:c r="K199" s="55" t="str">
        <x:v>00000002h</x:v>
      </x:c>
      <x:c r="L199" s="61" t="str">
        <x:v>Aspiro-Canon — Comète restituée B</x:v>
      </x:c>
      <x:c r="M199" s="61" t="str">
        <x:v>Élevée</x:v>
      </x:c>
      <x:c r="N199" s="61" t="str">
        <x:v>RAM2.dump / table statique LEVEL_01</x:v>
      </x:c>
    </x:row>
    <x:row r="200">
      <x:c r="A200" s="64" t="n">
        <x:v>194</x:v>
      </x:c>
      <x:c r="B200" s="64" t="n">
        <x:v>0</x:v>
      </x:c>
      <x:c r="C200" s="67" t="n">
        <x:v>60</x:v>
      </x:c>
      <x:c r="D200" s="67" t="n">
        <x:f>IF(B200=2,C200/2,C200)</x:f>
        <x:v>60</x:v>
      </x:c>
      <x:c r="E200" s="64" t="n">
        <x:v>1</x:v>
      </x:c>
      <x:c r="F200" s="64" t="n">
        <x:v>2</x:v>
      </x:c>
      <x:c r="G200" s="55" t="str">
        <x:v>094059ECh</x:v>
      </x:c>
      <x:c r="H200" s="55" t="str">
        <x:v>00000000h</x:v>
      </x:c>
      <x:c r="I200" s="55" t="str">
        <x:v>42700000h</x:v>
      </x:c>
      <x:c r="J200" s="55" t="str">
        <x:v>00000001h</x:v>
      </x:c>
      <x:c r="K200" s="55" t="str">
        <x:v>00000002h</x:v>
      </x:c>
      <x:c r="L200" s="61" t="str">
        <x:v>Aspiro-Canon — Comète restituée B</x:v>
      </x:c>
      <x:c r="M200" s="61" t="str">
        <x:v>Élevée</x:v>
      </x:c>
      <x:c r="N200" s="61" t="str">
        <x:v>RAM2.dump / table statique LEVEL_01</x:v>
      </x:c>
    </x:row>
    <x:row r="201">
      <x:c r="A201" s="64" t="n">
        <x:v>195</x:v>
      </x:c>
      <x:c r="B201" s="64" t="n">
        <x:v>0</x:v>
      </x:c>
      <x:c r="C201" s="67" t="n">
        <x:v>90</x:v>
      </x:c>
      <x:c r="D201" s="67" t="n">
        <x:f>IF(B201=2,C201/2,C201)</x:f>
        <x:v>90</x:v>
      </x:c>
      <x:c r="E201" s="64" t="n">
        <x:v>1</x:v>
      </x:c>
      <x:c r="F201" s="64" t="n">
        <x:v>2</x:v>
      </x:c>
      <x:c r="G201" s="55" t="str">
        <x:v>094059FCh</x:v>
      </x:c>
      <x:c r="H201" s="55" t="str">
        <x:v>00000000h</x:v>
      </x:c>
      <x:c r="I201" s="55" t="str">
        <x:v>42B40000h</x:v>
      </x:c>
      <x:c r="J201" s="55" t="str">
        <x:v>00000001h</x:v>
      </x:c>
      <x:c r="K201" s="55" t="str">
        <x:v>00000002h</x:v>
      </x:c>
      <x:c r="L201" s="61" t="str">
        <x:v>Aspiro-Canon — Comète restituée B</x:v>
      </x:c>
      <x:c r="M201" s="61" t="str">
        <x:v>Élevée</x:v>
      </x:c>
      <x:c r="N201" s="61" t="str">
        <x:v>RAM2.dump / table statique LEVEL_01</x:v>
      </x:c>
    </x:row>
    <x:row r="202">
      <x:c r="A202" s="64" t="n">
        <x:v>196</x:v>
      </x:c>
      <x:c r="B202" s="64" t="n">
        <x:v>0</x:v>
      </x:c>
      <x:c r="C202" s="67" t="n">
        <x:v>125.5</x:v>
      </x:c>
      <x:c r="D202" s="67" t="n">
        <x:f>IF(B202=2,C202/2,C202)</x:f>
        <x:v>125.5</x:v>
      </x:c>
      <x:c r="E202" s="64" t="n">
        <x:v>1</x:v>
      </x:c>
      <x:c r="F202" s="64" t="n">
        <x:v>2</x:v>
      </x:c>
      <x:c r="G202" s="55" t="str">
        <x:v>09405A0Ch</x:v>
      </x:c>
      <x:c r="H202" s="55" t="str">
        <x:v>00000000h</x:v>
      </x:c>
      <x:c r="I202" s="55" t="str">
        <x:v>42FB0000h</x:v>
      </x:c>
      <x:c r="J202" s="55" t="str">
        <x:v>00000001h</x:v>
      </x:c>
      <x:c r="K202" s="55" t="str">
        <x:v>00000002h</x:v>
      </x:c>
      <x:c r="L202" s="61" t="str">
        <x:v>Aspiro-Canon — Comète restituée B</x:v>
      </x:c>
      <x:c r="M202" s="61" t="str">
        <x:v>Élevée</x:v>
      </x:c>
      <x:c r="N202" s="61" t="str">
        <x:v>RAM2.dump / table statique LEVEL_01</x:v>
      </x:c>
    </x:row>
    <x:row r="203">
      <x:c r="A203" s="64" t="n">
        <x:v>197</x:v>
      </x:c>
      <x:c r="B203" s="64" t="n">
        <x:v>0</x:v>
      </x:c>
      <x:c r="C203" s="67" t="n">
        <x:v>200</x:v>
      </x:c>
      <x:c r="D203" s="67" t="n">
        <x:f>IF(B203=2,C203/2,C203)</x:f>
        <x:v>200</x:v>
      </x:c>
      <x:c r="E203" s="64" t="n">
        <x:v>1</x:v>
      </x:c>
      <x:c r="F203" s="64" t="n">
        <x:v>2</x:v>
      </x:c>
      <x:c r="G203" s="55" t="str">
        <x:v>09405A1Ch</x:v>
      </x:c>
      <x:c r="H203" s="55" t="str">
        <x:v>00000000h</x:v>
      </x:c>
      <x:c r="I203" s="55" t="str">
        <x:v>43480000h</x:v>
      </x:c>
      <x:c r="J203" s="55" t="str">
        <x:v>00000001h</x:v>
      </x:c>
      <x:c r="K203" s="55" t="str">
        <x:v>00000002h</x:v>
      </x:c>
      <x:c r="L203" s="61" t="str">
        <x:v>Aspiro-Canon — Comète restituée B</x:v>
      </x:c>
      <x:c r="M203" s="61" t="str">
        <x:v>Élevée</x:v>
      </x:c>
      <x:c r="N203" s="61" t="str">
        <x:v>RAM2.dump / table statique LEVEL_01</x:v>
      </x:c>
    </x:row>
    <x:row r="204">
      <x:c r="A204" s="64" t="n">
        <x:v>198</x:v>
      </x:c>
      <x:c r="B204" s="64" t="n">
        <x:v>0</x:v>
      </x:c>
      <x:c r="C204" s="67" t="n">
        <x:v>0</x:v>
      </x:c>
      <x:c r="D204" s="67" t="n">
        <x:f>IF(B204=2,C204/2,C204)</x:f>
        <x:v>0</x:v>
      </x:c>
      <x:c r="E204" s="64" t="n">
        <x:v>0</x:v>
      </x:c>
      <x:c r="F204" s="64" t="n">
        <x:v>3</x:v>
      </x:c>
      <x:c r="G204" s="55" t="str">
        <x:v>09405A2Ch</x:v>
      </x:c>
      <x:c r="H204" s="55" t="str">
        <x:v>00000000h</x:v>
      </x:c>
      <x:c r="I204" s="55" t="str">
        <x:v>00000000h</x:v>
      </x:c>
      <x:c r="J204" s="55" t="str">
        <x:v>00000000h</x:v>
      </x:c>
      <x:c r="K204" s="55" t="str">
        <x:v>00000003h</x:v>
      </x:c>
      <x:c r="L204" s="61" t="str">
        <x:v>Aspiro-Canon — Objet relâché / auxiliaire</x:v>
      </x:c>
      <x:c r="M204" s="61" t="str">
        <x:v>Élevée</x:v>
      </x:c>
      <x:c r="N204" s="61" t="str">
        <x:v>RAM2.dump / table statique LEVEL_01</x:v>
      </x:c>
    </x:row>
    <x:row r="205">
      <x:c r="A205" s="64" t="n">
        <x:v>199</x:v>
      </x:c>
      <x:c r="B205" s="64" t="n">
        <x:v>0</x:v>
      </x:c>
      <x:c r="C205" s="67" t="n">
        <x:v>0</x:v>
      </x:c>
      <x:c r="D205" s="67" t="n">
        <x:f>IF(B205=2,C205/2,C205)</x:f>
        <x:v>0</x:v>
      </x:c>
      <x:c r="E205" s="64" t="n">
        <x:v>0</x:v>
      </x:c>
      <x:c r="F205" s="64" t="n">
        <x:v>3</x:v>
      </x:c>
      <x:c r="G205" s="55" t="str">
        <x:v>09405A3Ch</x:v>
      </x:c>
      <x:c r="H205" s="55" t="str">
        <x:v>00000000h</x:v>
      </x:c>
      <x:c r="I205" s="55" t="str">
        <x:v>00000000h</x:v>
      </x:c>
      <x:c r="J205" s="55" t="str">
        <x:v>00000000h</x:v>
      </x:c>
      <x:c r="K205" s="55" t="str">
        <x:v>00000003h</x:v>
      </x:c>
      <x:c r="L205" s="61" t="str">
        <x:v>Aspiro-Canon — Objet relâché / auxiliaire</x:v>
      </x:c>
      <x:c r="M205" s="61" t="str">
        <x:v>Élevée</x:v>
      </x:c>
      <x:c r="N205" s="61" t="str">
        <x:v>RAM2.dump / table statique LEVEL_01</x:v>
      </x:c>
    </x:row>
    <x:row r="206">
      <x:c r="A206" s="64" t="n">
        <x:v>200</x:v>
      </x:c>
      <x:c r="B206" s="64" t="n">
        <x:v>0</x:v>
      </x:c>
      <x:c r="C206" s="67" t="n">
        <x:v>0</x:v>
      </x:c>
      <x:c r="D206" s="67" t="n">
        <x:f>IF(B206=2,C206/2,C206)</x:f>
        <x:v>0</x:v>
      </x:c>
      <x:c r="E206" s="64" t="n">
        <x:v>0</x:v>
      </x:c>
      <x:c r="F206" s="64" t="n">
        <x:v>3</x:v>
      </x:c>
      <x:c r="G206" s="55" t="str">
        <x:v>09405A4Ch</x:v>
      </x:c>
      <x:c r="H206" s="55" t="str">
        <x:v>00000000h</x:v>
      </x:c>
      <x:c r="I206" s="55" t="str">
        <x:v>00000000h</x:v>
      </x:c>
      <x:c r="J206" s="55" t="str">
        <x:v>00000000h</x:v>
      </x:c>
      <x:c r="K206" s="55" t="str">
        <x:v>00000003h</x:v>
      </x:c>
      <x:c r="L206" s="61" t="str">
        <x:v>Aspiro-Canon — Objet relâché / auxiliaire</x:v>
      </x:c>
      <x:c r="M206" s="61" t="str">
        <x:v>Élevée</x:v>
      </x:c>
      <x:c r="N206" s="61" t="str">
        <x:v>RAM2.dump / table statique LEVEL_01</x:v>
      </x:c>
    </x:row>
    <x:row r="207">
      <x:c r="A207" s="64" t="n">
        <x:v>201</x:v>
      </x:c>
      <x:c r="B207" s="64" t="n">
        <x:v>0</x:v>
      </x:c>
      <x:c r="C207" s="67" t="n">
        <x:v>26</x:v>
      </x:c>
      <x:c r="D207" s="67" t="n">
        <x:f>IF(B207=2,C207/2,C207)</x:f>
        <x:v>26</x:v>
      </x:c>
      <x:c r="E207" s="64" t="n">
        <x:v>0</x:v>
      </x:c>
      <x:c r="F207" s="64" t="n">
        <x:v>3</x:v>
      </x:c>
      <x:c r="G207" s="55" t="str">
        <x:v>09405A5Ch</x:v>
      </x:c>
      <x:c r="H207" s="55" t="str">
        <x:v>00000000h</x:v>
      </x:c>
      <x:c r="I207" s="55" t="str">
        <x:v>41D00000h</x:v>
      </x:c>
      <x:c r="J207" s="55" t="str">
        <x:v>00000000h</x:v>
      </x:c>
      <x:c r="K207" s="55" t="str">
        <x:v>00000003h</x:v>
      </x:c>
      <x:c r="L207" s="61" t="str">
        <x:v>Aspiro-Canon — Objet relâché / auxiliaire</x:v>
      </x:c>
      <x:c r="M207" s="61" t="str">
        <x:v>Élevée</x:v>
      </x:c>
      <x:c r="N207" s="61" t="str">
        <x:v>RAM2.dump / table statique LEVEL_01</x:v>
      </x:c>
    </x:row>
    <x:row r="208">
      <x:c r="A208" s="64" t="n">
        <x:v>202</x:v>
      </x:c>
      <x:c r="B208" s="64" t="n">
        <x:v>0</x:v>
      </x:c>
      <x:c r="C208" s="67" t="n">
        <x:v>40</x:v>
      </x:c>
      <x:c r="D208" s="67" t="n">
        <x:f>IF(B208=2,C208/2,C208)</x:f>
        <x:v>40</x:v>
      </x:c>
      <x:c r="E208" s="64" t="n">
        <x:v>0</x:v>
      </x:c>
      <x:c r="F208" s="64" t="n">
        <x:v>3</x:v>
      </x:c>
      <x:c r="G208" s="55" t="str">
        <x:v>09405A6Ch</x:v>
      </x:c>
      <x:c r="H208" s="55" t="str">
        <x:v>00000000h</x:v>
      </x:c>
      <x:c r="I208" s="55" t="str">
        <x:v>42200000h</x:v>
      </x:c>
      <x:c r="J208" s="55" t="str">
        <x:v>00000000h</x:v>
      </x:c>
      <x:c r="K208" s="55" t="str">
        <x:v>00000003h</x:v>
      </x:c>
      <x:c r="L208" s="61" t="str">
        <x:v>Aspiro-Canon — Objet relâché / auxiliaire</x:v>
      </x:c>
      <x:c r="M208" s="61" t="str">
        <x:v>Élevée</x:v>
      </x:c>
      <x:c r="N208" s="61" t="str">
        <x:v>RAM2.dump / table statique LEVEL_01</x:v>
      </x:c>
    </x:row>
    <x:row r="209">
      <x:c r="A209" s="64" t="n">
        <x:v>203</x:v>
      </x:c>
      <x:c r="B209" s="64" t="n">
        <x:v>0</x:v>
      </x:c>
      <x:c r="C209" s="67" t="n">
        <x:v>65</x:v>
      </x:c>
      <x:c r="D209" s="67" t="n">
        <x:f>IF(B209=2,C209/2,C209)</x:f>
        <x:v>65</x:v>
      </x:c>
      <x:c r="E209" s="64" t="n">
        <x:v>0</x:v>
      </x:c>
      <x:c r="F209" s="64" t="n">
        <x:v>3</x:v>
      </x:c>
      <x:c r="G209" s="55" t="str">
        <x:v>09405A7Ch</x:v>
      </x:c>
      <x:c r="H209" s="55" t="str">
        <x:v>00000000h</x:v>
      </x:c>
      <x:c r="I209" s="55" t="str">
        <x:v>42820000h</x:v>
      </x:c>
      <x:c r="J209" s="55" t="str">
        <x:v>00000000h</x:v>
      </x:c>
      <x:c r="K209" s="55" t="str">
        <x:v>00000003h</x:v>
      </x:c>
      <x:c r="L209" s="61" t="str">
        <x:v>Aspiro-Canon — Objet relâché / auxiliaire</x:v>
      </x:c>
      <x:c r="M209" s="61" t="str">
        <x:v>Élevée</x:v>
      </x:c>
      <x:c r="N209" s="61" t="str">
        <x:v>RAM2.dump / table statique LEVEL_01</x:v>
      </x:c>
    </x:row>
    <x:row r="210">
      <x:c r="A210" s="64" t="n">
        <x:v>204</x:v>
      </x:c>
      <x:c r="B210" s="64" t="n">
        <x:v>0</x:v>
      </x:c>
      <x:c r="C210" s="67" t="n">
        <x:v>92.5</x:v>
      </x:c>
      <x:c r="D210" s="67" t="n">
        <x:f>IF(B210=2,C210/2,C210)</x:f>
        <x:v>92.5</x:v>
      </x:c>
      <x:c r="E210" s="64" t="n">
        <x:v>0</x:v>
      </x:c>
      <x:c r="F210" s="64" t="n">
        <x:v>3</x:v>
      </x:c>
      <x:c r="G210" s="55" t="str">
        <x:v>09405A8Ch</x:v>
      </x:c>
      <x:c r="H210" s="55" t="str">
        <x:v>00000000h</x:v>
      </x:c>
      <x:c r="I210" s="55" t="str">
        <x:v>42B90000h</x:v>
      </x:c>
      <x:c r="J210" s="55" t="str">
        <x:v>00000000h</x:v>
      </x:c>
      <x:c r="K210" s="55" t="str">
        <x:v>00000003h</x:v>
      </x:c>
      <x:c r="L210" s="61" t="str">
        <x:v>Aspiro-Canon — Objet relâché / auxiliaire</x:v>
      </x:c>
      <x:c r="M210" s="61" t="str">
        <x:v>Élevée</x:v>
      </x:c>
      <x:c r="N210" s="61" t="str">
        <x:v>RAM2.dump / table statique LEVEL_01</x:v>
      </x:c>
    </x:row>
    <x:row r="211">
      <x:c r="A211" s="64" t="n">
        <x:v>205</x:v>
      </x:c>
      <x:c r="B211" s="64" t="n">
        <x:v>0</x:v>
      </x:c>
      <x:c r="C211" s="67" t="n">
        <x:v>135</x:v>
      </x:c>
      <x:c r="D211" s="67" t="n">
        <x:f>IF(B211=2,C211/2,C211)</x:f>
        <x:v>135</x:v>
      </x:c>
      <x:c r="E211" s="64" t="n">
        <x:v>0</x:v>
      </x:c>
      <x:c r="F211" s="64" t="n">
        <x:v>3</x:v>
      </x:c>
      <x:c r="G211" s="55" t="str">
        <x:v>09405A9Ch</x:v>
      </x:c>
      <x:c r="H211" s="55" t="str">
        <x:v>00000000h</x:v>
      </x:c>
      <x:c r="I211" s="55" t="str">
        <x:v>43070000h</x:v>
      </x:c>
      <x:c r="J211" s="55" t="str">
        <x:v>00000000h</x:v>
      </x:c>
      <x:c r="K211" s="55" t="str">
        <x:v>00000003h</x:v>
      </x:c>
      <x:c r="L211" s="61" t="str">
        <x:v>Aspiro-Canon — Objet relâché / auxiliaire</x:v>
      </x:c>
      <x:c r="M211" s="61" t="str">
        <x:v>Élevée</x:v>
      </x:c>
      <x:c r="N211" s="61" t="str">
        <x:v>RAM2.dump / table statique LEVEL_01</x:v>
      </x:c>
    </x:row>
    <x:row r="212">
      <x:c r="A212" s="64" t="n">
        <x:v>206</x:v>
      </x:c>
      <x:c r="B212" s="64" t="n">
        <x:v>0</x:v>
      </x:c>
      <x:c r="C212" s="67" t="n">
        <x:v>0</x:v>
      </x:c>
      <x:c r="D212" s="67" t="n">
        <x:f>IF(B212=2,C212/2,C212)</x:f>
        <x:v>0</x:v>
      </x:c>
      <x:c r="E212" s="64" t="n">
        <x:v>10</x:v>
      </x:c>
      <x:c r="F212" s="64" t="n">
        <x:v>1</x:v>
      </x:c>
      <x:c r="G212" s="55" t="str">
        <x:v>09405AACh</x:v>
      </x:c>
      <x:c r="H212" s="55" t="str">
        <x:v>00000000h</x:v>
      </x:c>
      <x:c r="I212" s="55" t="str">
        <x:v>00000000h</x:v>
      </x:c>
      <x:c r="J212" s="55" t="str">
        <x:v>0000000Ah</x:v>
      </x:c>
      <x:c r="K212" s="55" t="str">
        <x:v>00000001h</x:v>
      </x:c>
      <x:c r="L212" s="61" t="str">
        <x:v>Aspiro-Canon — Statut/transformation interne</x:v>
      </x:c>
      <x:c r="M212" s="61" t="str">
        <x:v>Moyenne</x:v>
      </x:c>
      <x:c r="N212" s="61" t="str">
        <x:v>RAM2.dump / table statique LEVEL_01</x:v>
      </x:c>
    </x:row>
    <x:row r="213">
      <x:c r="A213" s="64" t="n">
        <x:v>207</x:v>
      </x:c>
      <x:c r="B213" s="64" t="n">
        <x:v>1</x:v>
      </x:c>
      <x:c r="C213" s="67" t="n">
        <x:v>0.06666667014360428</x:v>
      </x:c>
      <x:c r="D213" s="67" t="n">
        <x:f>IF(B213=2,C213/2,C213)</x:f>
        <x:v>0.06666667014360428</x:v>
      </x:c>
      <x:c r="E213" s="64" t="n">
        <x:v>0</x:v>
      </x:c>
      <x:c r="F213" s="64" t="n">
        <x:v>0</x:v>
      </x:c>
      <x:c r="G213" s="55" t="str">
        <x:v>09405ABCh</x:v>
      </x:c>
      <x:c r="H213" s="55" t="str">
        <x:v>00000001h</x:v>
      </x:c>
      <x:c r="I213" s="55" t="str">
        <x:v>3D888889h</x:v>
      </x:c>
      <x:c r="J213" s="55" t="str">
        <x:v>00000000h</x:v>
      </x:c>
      <x:c r="K213" s="55" t="str">
        <x:v>00000000h</x:v>
      </x:c>
      <x:c r="L213" s="61" t="str">
        <x:v>Aspiro-Canon — Tick supplémentaire</x:v>
      </x:c>
      <x:c r="M213" s="61" t="str">
        <x:v>Élevée</x:v>
      </x:c>
      <x:c r="N213" s="61" t="str">
        <x:v>RAM2.dump / table statique LEVEL_01</x:v>
      </x:c>
    </x:row>
    <x:row r="214">
      <x:c r="A214" s="64" t="n">
        <x:v>208</x:v>
      </x:c>
      <x:c r="B214" s="64" t="n">
        <x:v>1</x:v>
      </x:c>
      <x:c r="C214" s="67" t="n">
        <x:v>0.06666667014360428</x:v>
      </x:c>
      <x:c r="D214" s="67" t="n">
        <x:f>IF(B214=2,C214/2,C214)</x:f>
        <x:v>0.06666667014360428</x:v>
      </x:c>
      <x:c r="E214" s="64" t="n">
        <x:v>0</x:v>
      </x:c>
      <x:c r="F214" s="64" t="n">
        <x:v>0</x:v>
      </x:c>
      <x:c r="G214" s="55" t="str">
        <x:v>09405ACCh</x:v>
      </x:c>
      <x:c r="H214" s="55" t="str">
        <x:v>00000001h</x:v>
      </x:c>
      <x:c r="I214" s="55" t="str">
        <x:v>3D888889h</x:v>
      </x:c>
      <x:c r="J214" s="55" t="str">
        <x:v>00000000h</x:v>
      </x:c>
      <x:c r="K214" s="55" t="str">
        <x:v>00000000h</x:v>
      </x:c>
      <x:c r="L214" s="61" t="str">
        <x:v>Aspiro-Canon — Tick supplémentaire</x:v>
      </x:c>
      <x:c r="M214" s="61" t="str">
        <x:v>Élevée</x:v>
      </x:c>
      <x:c r="N214" s="61" t="str">
        <x:v>RAM2.dump / table statique LEVEL_01</x:v>
      </x:c>
    </x:row>
    <x:row r="215">
      <x:c r="A215" s="64" t="n">
        <x:v>209</x:v>
      </x:c>
      <x:c r="B215" s="64" t="n">
        <x:v>1</x:v>
      </x:c>
      <x:c r="C215" s="67" t="n">
        <x:v>0.2666666805744171</x:v>
      </x:c>
      <x:c r="D215" s="67" t="n">
        <x:f>IF(B215=2,C215/2,C215)</x:f>
        <x:v>0.2666666805744171</x:v>
      </x:c>
      <x:c r="E215" s="64" t="n">
        <x:v>0</x:v>
      </x:c>
      <x:c r="F215" s="64" t="n">
        <x:v>0</x:v>
      </x:c>
      <x:c r="G215" s="55" t="str">
        <x:v>09405ADCh</x:v>
      </x:c>
      <x:c r="H215" s="55" t="str">
        <x:v>00000001h</x:v>
      </x:c>
      <x:c r="I215" s="55" t="str">
        <x:v>3E888889h</x:v>
      </x:c>
      <x:c r="J215" s="55" t="str">
        <x:v>00000000h</x:v>
      </x:c>
      <x:c r="K215" s="55" t="str">
        <x:v>00000000h</x:v>
      </x:c>
      <x:c r="L215" s="61" t="str">
        <x:v>Aspiro-Canon — Tick supplémentaire</x:v>
      </x:c>
      <x:c r="M215" s="61" t="str">
        <x:v>Élevée</x:v>
      </x:c>
      <x:c r="N215" s="61" t="str">
        <x:v>RAM2.dump / table statique LEVEL_01</x:v>
      </x:c>
    </x:row>
    <x:row r="216">
      <x:c r="A216" s="64" t="n">
        <x:v>210</x:v>
      </x:c>
      <x:c r="B216" s="64" t="n">
        <x:v>1</x:v>
      </x:c>
      <x:c r="C216" s="67" t="n">
        <x:v>0.5333333611488342</x:v>
      </x:c>
      <x:c r="D216" s="67" t="n">
        <x:f>IF(B216=2,C216/2,C216)</x:f>
        <x:v>0.5333333611488342</x:v>
      </x:c>
      <x:c r="E216" s="64" t="n">
        <x:v>0</x:v>
      </x:c>
      <x:c r="F216" s="64" t="n">
        <x:v>0</x:v>
      </x:c>
      <x:c r="G216" s="55" t="str">
        <x:v>09405AECh</x:v>
      </x:c>
      <x:c r="H216" s="55" t="str">
        <x:v>00000001h</x:v>
      </x:c>
      <x:c r="I216" s="55" t="str">
        <x:v>3F088889h</x:v>
      </x:c>
      <x:c r="J216" s="55" t="str">
        <x:v>00000000h</x:v>
      </x:c>
      <x:c r="K216" s="55" t="str">
        <x:v>00000000h</x:v>
      </x:c>
      <x:c r="L216" s="61" t="str">
        <x:v>Aspiro-Canon — Tick supplémentaire</x:v>
      </x:c>
      <x:c r="M216" s="61" t="str">
        <x:v>Élevée</x:v>
      </x:c>
      <x:c r="N216" s="61" t="str">
        <x:v>RAM2.dump / table statique LEVEL_01</x:v>
      </x:c>
    </x:row>
    <x:row r="217">
      <x:c r="A217" s="64" t="n">
        <x:v>211</x:v>
      </x:c>
      <x:c r="B217" s="64" t="n">
        <x:v>1</x:v>
      </x:c>
      <x:c r="C217" s="67" t="n">
        <x:v>1.2000000476837158</x:v>
      </x:c>
      <x:c r="D217" s="67" t="n">
        <x:f>IF(B217=2,C217/2,C217)</x:f>
        <x:v>1.2000000476837158</x:v>
      </x:c>
      <x:c r="E217" s="64" t="n">
        <x:v>0</x:v>
      </x:c>
      <x:c r="F217" s="64" t="n">
        <x:v>0</x:v>
      </x:c>
      <x:c r="G217" s="55" t="str">
        <x:v>09405AFCh</x:v>
      </x:c>
      <x:c r="H217" s="55" t="str">
        <x:v>00000001h</x:v>
      </x:c>
      <x:c r="I217" s="55" t="str">
        <x:v>3F99999Ah</x:v>
      </x:c>
      <x:c r="J217" s="55" t="str">
        <x:v>00000000h</x:v>
      </x:c>
      <x:c r="K217" s="55" t="str">
        <x:v>00000000h</x:v>
      </x:c>
      <x:c r="L217" s="61" t="str">
        <x:v>Aspiro-Canon — Tick supplémentaire</x:v>
      </x:c>
      <x:c r="M217" s="61" t="str">
        <x:v>Élevée</x:v>
      </x:c>
      <x:c r="N217" s="61" t="str">
        <x:v>RAM2.dump / table statique LEVEL_01</x:v>
      </x:c>
    </x:row>
    <x:row r="218">
      <x:c r="A218" s="64" t="n">
        <x:v>212</x:v>
      </x:c>
      <x:c r="B218" s="64" t="n">
        <x:v>1</x:v>
      </x:c>
      <x:c r="C218" s="67" t="n">
        <x:v>2.4000000953674316</x:v>
      </x:c>
      <x:c r="D218" s="67" t="n">
        <x:f>IF(B218=2,C218/2,C218)</x:f>
        <x:v>2.4000000953674316</x:v>
      </x:c>
      <x:c r="E218" s="64" t="n">
        <x:v>0</x:v>
      </x:c>
      <x:c r="F218" s="64" t="n">
        <x:v>0</x:v>
      </x:c>
      <x:c r="G218" s="55" t="str">
        <x:v>09405B0Ch</x:v>
      </x:c>
      <x:c r="H218" s="55" t="str">
        <x:v>00000001h</x:v>
      </x:c>
      <x:c r="I218" s="55" t="str">
        <x:v>4019999Ah</x:v>
      </x:c>
      <x:c r="J218" s="55" t="str">
        <x:v>00000000h</x:v>
      </x:c>
      <x:c r="K218" s="55" t="str">
        <x:v>00000000h</x:v>
      </x:c>
      <x:c r="L218" s="61" t="str">
        <x:v>Aspiro-Canon — Tick supplémentaire</x:v>
      </x:c>
      <x:c r="M218" s="61" t="str">
        <x:v>Élevée</x:v>
      </x:c>
      <x:c r="N218" s="61" t="str">
        <x:v>RAM2.dump / table statique LEVEL_01</x:v>
      </x:c>
    </x:row>
    <x:row r="219">
      <x:c r="A219" s="64" t="n">
        <x:v>213</x:v>
      </x:c>
      <x:c r="B219" s="64" t="n">
        <x:v>1</x:v>
      </x:c>
      <x:c r="C219" s="67" t="n">
        <x:v>3.6000001430511475</x:v>
      </x:c>
      <x:c r="D219" s="67" t="n">
        <x:f>IF(B219=2,C219/2,C219)</x:f>
        <x:v>3.6000001430511475</x:v>
      </x:c>
      <x:c r="E219" s="64" t="n">
        <x:v>0</x:v>
      </x:c>
      <x:c r="F219" s="64" t="n">
        <x:v>0</x:v>
      </x:c>
      <x:c r="G219" s="55" t="str">
        <x:v>09405B1Ch</x:v>
      </x:c>
      <x:c r="H219" s="55" t="str">
        <x:v>00000001h</x:v>
      </x:c>
      <x:c r="I219" s="55" t="str">
        <x:v>40666667h</x:v>
      </x:c>
      <x:c r="J219" s="55" t="str">
        <x:v>00000000h</x:v>
      </x:c>
      <x:c r="K219" s="55" t="str">
        <x:v>00000000h</x:v>
      </x:c>
      <x:c r="L219" s="61" t="str">
        <x:v>Aspiro-Canon — Tick supplémentaire</x:v>
      </x:c>
      <x:c r="M219" s="61" t="str">
        <x:v>Élevée</x:v>
      </x:c>
      <x:c r="N219" s="61" t="str">
        <x:v>RAM2.dump / table statique LEVEL_01</x:v>
      </x:c>
    </x:row>
    <x:row r="220">
      <x:c r="A220" s="64" t="n">
        <x:v>214</x:v>
      </x:c>
      <x:c r="B220" s="64" t="n">
        <x:v>1</x:v>
      </x:c>
      <x:c r="C220" s="67" t="n">
        <x:v>5.000000476837158</x:v>
      </x:c>
      <x:c r="D220" s="67" t="n">
        <x:f>IF(B220=2,C220/2,C220)</x:f>
        <x:v>5.000000476837158</x:v>
      </x:c>
      <x:c r="E220" s="64" t="n">
        <x:v>0</x:v>
      </x:c>
      <x:c r="F220" s="64" t="n">
        <x:v>0</x:v>
      </x:c>
      <x:c r="G220" s="55" t="str">
        <x:v>09405B2Ch</x:v>
      </x:c>
      <x:c r="H220" s="55" t="str">
        <x:v>00000001h</x:v>
      </x:c>
      <x:c r="I220" s="55" t="str">
        <x:v>40A00001h</x:v>
      </x:c>
      <x:c r="J220" s="55" t="str">
        <x:v>00000000h</x:v>
      </x:c>
      <x:c r="K220" s="55" t="str">
        <x:v>00000000h</x:v>
      </x:c>
      <x:c r="L220" s="61" t="str">
        <x:v>Aspiro-Canon — Tick supplémentaire</x:v>
      </x:c>
      <x:c r="M220" s="61" t="str">
        <x:v>Élevée</x:v>
      </x:c>
      <x:c r="N220" s="61" t="str">
        <x:v>RAM2.dump / table statique LEVEL_01</x:v>
      </x:c>
    </x:row>
    <x:row r="221">
      <x:c r="A221" s="64" t="n">
        <x:v>215</x:v>
      </x:c>
      <x:c r="B221" s="64" t="n">
        <x:v>2</x:v>
      </x:c>
      <x:c r="C221" s="67" t="n">
        <x:v>0</x:v>
      </x:c>
      <x:c r="D221" s="67" t="n">
        <x:f>IF(B221=2,C221/2,C221)</x:f>
        <x:v>0</x:v>
      </x:c>
      <x:c r="E221" s="64" t="n">
        <x:v>3</x:v>
      </x:c>
      <x:c r="F221" s="64" t="n">
        <x:v>1</x:v>
      </x:c>
      <x:c r="G221" s="55" t="str">
        <x:v>09405B3Ch</x:v>
      </x:c>
      <x:c r="H221" s="55" t="str">
        <x:v>00000002h</x:v>
      </x:c>
      <x:c r="I221" s="55" t="str">
        <x:v>00000000h</x:v>
      </x:c>
      <x:c r="J221" s="55" t="str">
        <x:v>00000003h</x:v>
      </x:c>
      <x:c r="K221" s="55" t="str">
        <x:v>00000001h</x:v>
      </x:c>
      <x:c r="L221" s="61" t="str">
        <x:v>Barrière Statique — Contact / tick de barrière</x:v>
      </x:c>
      <x:c r="M221" s="61" t="str">
        <x:v>Élevée</x:v>
      </x:c>
      <x:c r="N221" s="61" t="str">
        <x:v>RAM2.dump / table statique LEVEL_01</x:v>
      </x:c>
    </x:row>
    <x:row r="222">
      <x:c r="A222" s="64" t="n">
        <x:v>216</x:v>
      </x:c>
      <x:c r="B222" s="64" t="n">
        <x:v>2</x:v>
      </x:c>
      <x:c r="C222" s="67" t="n">
        <x:v>0.1666666716337204</x:v>
      </x:c>
      <x:c r="D222" s="67" t="n">
        <x:f>IF(B222=2,C222/2,C222)</x:f>
        <x:v>0.0833333358168602</x:v>
      </x:c>
      <x:c r="E222" s="64" t="n">
        <x:v>3</x:v>
      </x:c>
      <x:c r="F222" s="64" t="n">
        <x:v>1</x:v>
      </x:c>
      <x:c r="G222" s="55" t="str">
        <x:v>09405B4Ch</x:v>
      </x:c>
      <x:c r="H222" s="55" t="str">
        <x:v>00000002h</x:v>
      </x:c>
      <x:c r="I222" s="55" t="str">
        <x:v>3E2AAAABh</x:v>
      </x:c>
      <x:c r="J222" s="55" t="str">
        <x:v>00000003h</x:v>
      </x:c>
      <x:c r="K222" s="55" t="str">
        <x:v>00000001h</x:v>
      </x:c>
      <x:c r="L222" s="61" t="str">
        <x:v>Barrière Statique — Contact / tick de barrière</x:v>
      </x:c>
      <x:c r="M222" s="61" t="str">
        <x:v>Élevée</x:v>
      </x:c>
      <x:c r="N222" s="61" t="str">
        <x:v>RAM2.dump / table statique LEVEL_01</x:v>
      </x:c>
    </x:row>
    <x:row r="223">
      <x:c r="A223" s="64" t="n">
        <x:v>217</x:v>
      </x:c>
      <x:c r="B223" s="64" t="n">
        <x:v>2</x:v>
      </x:c>
      <x:c r="C223" s="67" t="n">
        <x:v>0.1666666716337204</x:v>
      </x:c>
      <x:c r="D223" s="67" t="n">
        <x:f>IF(B223=2,C223/2,C223)</x:f>
        <x:v>0.0833333358168602</x:v>
      </x:c>
      <x:c r="E223" s="64" t="n">
        <x:v>3</x:v>
      </x:c>
      <x:c r="F223" s="64" t="n">
        <x:v>1</x:v>
      </x:c>
      <x:c r="G223" s="55" t="str">
        <x:v>09405B5Ch</x:v>
      </x:c>
      <x:c r="H223" s="55" t="str">
        <x:v>00000002h</x:v>
      </x:c>
      <x:c r="I223" s="55" t="str">
        <x:v>3E2AAAABh</x:v>
      </x:c>
      <x:c r="J223" s="55" t="str">
        <x:v>00000003h</x:v>
      </x:c>
      <x:c r="K223" s="55" t="str">
        <x:v>00000001h</x:v>
      </x:c>
      <x:c r="L223" s="61" t="str">
        <x:v>Barrière Statique — Contact / tick de barrière</x:v>
      </x:c>
      <x:c r="M223" s="61" t="str">
        <x:v>Élevée</x:v>
      </x:c>
      <x:c r="N223" s="61" t="str">
        <x:v>RAM2.dump / table statique LEVEL_01</x:v>
      </x:c>
    </x:row>
    <x:row r="224">
      <x:c r="A224" s="64" t="n">
        <x:v>218</x:v>
      </x:c>
      <x:c r="B224" s="64" t="n">
        <x:v>2</x:v>
      </x:c>
      <x:c r="C224" s="67" t="n">
        <x:v>0.1666666716337204</x:v>
      </x:c>
      <x:c r="D224" s="67" t="n">
        <x:f>IF(B224=2,C224/2,C224)</x:f>
        <x:v>0.0833333358168602</x:v>
      </x:c>
      <x:c r="E224" s="64" t="n">
        <x:v>3</x:v>
      </x:c>
      <x:c r="F224" s="64" t="n">
        <x:v>1</x:v>
      </x:c>
      <x:c r="G224" s="55" t="str">
        <x:v>09405B6Ch</x:v>
      </x:c>
      <x:c r="H224" s="55" t="str">
        <x:v>00000002h</x:v>
      </x:c>
      <x:c r="I224" s="55" t="str">
        <x:v>3E2AAAABh</x:v>
      </x:c>
      <x:c r="J224" s="55" t="str">
        <x:v>00000003h</x:v>
      </x:c>
      <x:c r="K224" s="55" t="str">
        <x:v>00000001h</x:v>
      </x:c>
      <x:c r="L224" s="61" t="str">
        <x:v>Barrière Statique — Contact / tick de barrière</x:v>
      </x:c>
      <x:c r="M224" s="61" t="str">
        <x:v>Élevée</x:v>
      </x:c>
      <x:c r="N224" s="61" t="str">
        <x:v>RAM2.dump / table statique LEVEL_01</x:v>
      </x:c>
    </x:row>
    <x:row r="225">
      <x:c r="A225" s="64" t="n">
        <x:v>219</x:v>
      </x:c>
      <x:c r="B225" s="64" t="n">
        <x:v>2</x:v>
      </x:c>
      <x:c r="C225" s="67" t="n">
        <x:v>0.8000000715255737</x:v>
      </x:c>
      <x:c r="D225" s="67" t="n">
        <x:f>IF(B225=2,C225/2,C225)</x:f>
        <x:v>0.40000003576278687</x:v>
      </x:c>
      <x:c r="E225" s="64" t="n">
        <x:v>3</x:v>
      </x:c>
      <x:c r="F225" s="64" t="n">
        <x:v>1</x:v>
      </x:c>
      <x:c r="G225" s="55" t="str">
        <x:v>09405B7Ch</x:v>
      </x:c>
      <x:c r="H225" s="55" t="str">
        <x:v>00000002h</x:v>
      </x:c>
      <x:c r="I225" s="55" t="str">
        <x:v>3F4CCCCEh</x:v>
      </x:c>
      <x:c r="J225" s="55" t="str">
        <x:v>00000003h</x:v>
      </x:c>
      <x:c r="K225" s="55" t="str">
        <x:v>00000001h</x:v>
      </x:c>
      <x:c r="L225" s="61" t="str">
        <x:v>Barrière Statique — Contact / tick de barrière</x:v>
      </x:c>
      <x:c r="M225" s="61" t="str">
        <x:v>Élevée</x:v>
      </x:c>
      <x:c r="N225" s="61" t="str">
        <x:v>RAM2.dump / table statique LEVEL_01</x:v>
      </x:c>
    </x:row>
    <x:row r="226">
      <x:c r="A226" s="64" t="n">
        <x:v>220</x:v>
      </x:c>
      <x:c r="B226" s="64" t="n">
        <x:v>2</x:v>
      </x:c>
      <x:c r="C226" s="67" t="n">
        <x:v>1.1666667461395264</x:v>
      </x:c>
      <x:c r="D226" s="67" t="n">
        <x:f>IF(B226=2,C226/2,C226)</x:f>
        <x:v>0.5833333730697632</x:v>
      </x:c>
      <x:c r="E226" s="64" t="n">
        <x:v>3</x:v>
      </x:c>
      <x:c r="F226" s="64" t="n">
        <x:v>1</x:v>
      </x:c>
      <x:c r="G226" s="55" t="str">
        <x:v>09405B8Ch</x:v>
      </x:c>
      <x:c r="H226" s="55" t="str">
        <x:v>00000002h</x:v>
      </x:c>
      <x:c r="I226" s="55" t="str">
        <x:v>3F955556h</x:v>
      </x:c>
      <x:c r="J226" s="55" t="str">
        <x:v>00000003h</x:v>
      </x:c>
      <x:c r="K226" s="55" t="str">
        <x:v>00000001h</x:v>
      </x:c>
      <x:c r="L226" s="61" t="str">
        <x:v>Barrière Statique — Contact / tick de barrière</x:v>
      </x:c>
      <x:c r="M226" s="61" t="str">
        <x:v>Élevée</x:v>
      </x:c>
      <x:c r="N226" s="61" t="str">
        <x:v>RAM2.dump / table statique LEVEL_01</x:v>
      </x:c>
    </x:row>
    <x:row r="227">
      <x:c r="A227" s="64" t="n">
        <x:v>221</x:v>
      </x:c>
      <x:c r="B227" s="64" t="n">
        <x:v>2</x:v>
      </x:c>
      <x:c r="C227" s="67" t="n">
        <x:v>2.3333334922790527</x:v>
      </x:c>
      <x:c r="D227" s="67" t="n">
        <x:f>IF(B227=2,C227/2,C227)</x:f>
        <x:v>1.1666667461395264</x:v>
      </x:c>
      <x:c r="E227" s="64" t="n">
        <x:v>3</x:v>
      </x:c>
      <x:c r="F227" s="64" t="n">
        <x:v>1</x:v>
      </x:c>
      <x:c r="G227" s="55" t="str">
        <x:v>09405B9Ch</x:v>
      </x:c>
      <x:c r="H227" s="55" t="str">
        <x:v>00000002h</x:v>
      </x:c>
      <x:c r="I227" s="55" t="str">
        <x:v>40155556h</x:v>
      </x:c>
      <x:c r="J227" s="55" t="str">
        <x:v>00000003h</x:v>
      </x:c>
      <x:c r="K227" s="55" t="str">
        <x:v>00000001h</x:v>
      </x:c>
      <x:c r="L227" s="61" t="str">
        <x:v>Barrière Statique — Contact / tick de barrière</x:v>
      </x:c>
      <x:c r="M227" s="61" t="str">
        <x:v>Élevée</x:v>
      </x:c>
      <x:c r="N227" s="61" t="str">
        <x:v>RAM2.dump / table statique LEVEL_01</x:v>
      </x:c>
    </x:row>
    <x:row r="228">
      <x:c r="A228" s="64" t="n">
        <x:v>222</x:v>
      </x:c>
      <x:c r="B228" s="64" t="n">
        <x:v>2</x:v>
      </x:c>
      <x:c r="C228" s="67" t="n">
        <x:v>3.3333334922790527</x:v>
      </x:c>
      <x:c r="D228" s="67" t="n">
        <x:f>IF(B228=2,C228/2,C228)</x:f>
        <x:v>1.6666667461395264</x:v>
      </x:c>
      <x:c r="E228" s="64" t="n">
        <x:v>3</x:v>
      </x:c>
      <x:c r="F228" s="64" t="n">
        <x:v>1</x:v>
      </x:c>
      <x:c r="G228" s="55" t="str">
        <x:v>09405BACh</x:v>
      </x:c>
      <x:c r="H228" s="55" t="str">
        <x:v>00000002h</x:v>
      </x:c>
      <x:c r="I228" s="55" t="str">
        <x:v>40555556h</x:v>
      </x:c>
      <x:c r="J228" s="55" t="str">
        <x:v>00000003h</x:v>
      </x:c>
      <x:c r="K228" s="55" t="str">
        <x:v>00000001h</x:v>
      </x:c>
      <x:c r="L228" s="61" t="str">
        <x:v>Barrière Statique — Contact / tick de barrière</x:v>
      </x:c>
      <x:c r="M228" s="61" t="str">
        <x:v>Élevée</x:v>
      </x:c>
      <x:c r="N228" s="61" t="str">
        <x:v>RAM2.dump / table statique LEVEL_01</x:v>
      </x:c>
    </x:row>
    <x:row r="229">
      <x:c r="A229" s="64" t="n">
        <x:v>223</x:v>
      </x:c>
      <x:c r="B229" s="64" t="n">
        <x:v>0</x:v>
      </x:c>
      <x:c r="C229" s="67" t="n">
        <x:v>0</x:v>
      </x:c>
      <x:c r="D229" s="67" t="n">
        <x:f>IF(B229=2,C229/2,C229)</x:f>
        <x:v>0</x:v>
      </x:c>
      <x:c r="E229" s="64" t="n">
        <x:v>1</x:v>
      </x:c>
      <x:c r="F229" s="64" t="n">
        <x:v>2</x:v>
      </x:c>
      <x:c r="G229" s="55" t="str">
        <x:v>09405BBCh</x:v>
      </x:c>
      <x:c r="H229" s="55" t="str">
        <x:v>00000000h</x:v>
      </x:c>
      <x:c r="I229" s="55" t="str">
        <x:v>00000000h</x:v>
      </x:c>
      <x:c r="J229" s="55" t="str">
        <x:v>00000001h</x:v>
      </x:c>
      <x:c r="K229" s="55" t="str">
        <x:v>00000002h</x:v>
      </x:c>
      <x:c r="L229" s="61" t="str">
        <x:v>Barrière Statique — Décharge / bolt secondaire</x:v>
      </x:c>
      <x:c r="M229" s="61" t="str">
        <x:v>Élevée</x:v>
      </x:c>
      <x:c r="N229" s="61" t="str">
        <x:v>RAM2.dump / table statique LEVEL_01</x:v>
      </x:c>
    </x:row>
    <x:row r="230">
      <x:c r="A230" s="64" t="n">
        <x:v>224</x:v>
      </x:c>
      <x:c r="B230" s="64" t="n">
        <x:v>0</x:v>
      </x:c>
      <x:c r="C230" s="67" t="n">
        <x:v>0</x:v>
      </x:c>
      <x:c r="D230" s="67" t="n">
        <x:f>IF(B230=2,C230/2,C230)</x:f>
        <x:v>0</x:v>
      </x:c>
      <x:c r="E230" s="64" t="n">
        <x:v>1</x:v>
      </x:c>
      <x:c r="F230" s="64" t="n">
        <x:v>2</x:v>
      </x:c>
      <x:c r="G230" s="55" t="str">
        <x:v>09405BCCh</x:v>
      </x:c>
      <x:c r="H230" s="55" t="str">
        <x:v>00000000h</x:v>
      </x:c>
      <x:c r="I230" s="55" t="str">
        <x:v>00000000h</x:v>
      </x:c>
      <x:c r="J230" s="55" t="str">
        <x:v>00000001h</x:v>
      </x:c>
      <x:c r="K230" s="55" t="str">
        <x:v>00000002h</x:v>
      </x:c>
      <x:c r="L230" s="61" t="str">
        <x:v>Barrière Statique — Décharge / bolt secondaire</x:v>
      </x:c>
      <x:c r="M230" s="61" t="str">
        <x:v>Élevée</x:v>
      </x:c>
      <x:c r="N230" s="61" t="str">
        <x:v>RAM2.dump / table statique LEVEL_01</x:v>
      </x:c>
    </x:row>
    <x:row r="231">
      <x:c r="A231" s="64" t="n">
        <x:v>225</x:v>
      </x:c>
      <x:c r="B231" s="64" t="n">
        <x:v>0</x:v>
      </x:c>
      <x:c r="C231" s="67" t="n">
        <x:v>0</x:v>
      </x:c>
      <x:c r="D231" s="67" t="n">
        <x:f>IF(B231=2,C231/2,C231)</x:f>
        <x:v>0</x:v>
      </x:c>
      <x:c r="E231" s="64" t="n">
        <x:v>1</x:v>
      </x:c>
      <x:c r="F231" s="64" t="n">
        <x:v>2</x:v>
      </x:c>
      <x:c r="G231" s="55" t="str">
        <x:v>09405BDCh</x:v>
      </x:c>
      <x:c r="H231" s="55" t="str">
        <x:v>00000000h</x:v>
      </x:c>
      <x:c r="I231" s="55" t="str">
        <x:v>00000000h</x:v>
      </x:c>
      <x:c r="J231" s="55" t="str">
        <x:v>00000001h</x:v>
      </x:c>
      <x:c r="K231" s="55" t="str">
        <x:v>00000002h</x:v>
      </x:c>
      <x:c r="L231" s="61" t="str">
        <x:v>Barrière Statique — Décharge / bolt secondaire</x:v>
      </x:c>
      <x:c r="M231" s="61" t="str">
        <x:v>Élevée</x:v>
      </x:c>
      <x:c r="N231" s="61" t="str">
        <x:v>RAM2.dump / table statique LEVEL_01</x:v>
      </x:c>
    </x:row>
    <x:row r="232">
      <x:c r="A232" s="64" t="n">
        <x:v>226</x:v>
      </x:c>
      <x:c r="B232" s="64" t="n">
        <x:v>0</x:v>
      </x:c>
      <x:c r="C232" s="67" t="n">
        <x:v>40</x:v>
      </x:c>
      <x:c r="D232" s="67" t="n">
        <x:f>IF(B232=2,C232/2,C232)</x:f>
        <x:v>40</x:v>
      </x:c>
      <x:c r="E232" s="64" t="n">
        <x:v>1</x:v>
      </x:c>
      <x:c r="F232" s="64" t="n">
        <x:v>2</x:v>
      </x:c>
      <x:c r="G232" s="55" t="str">
        <x:v>09405BECh</x:v>
      </x:c>
      <x:c r="H232" s="55" t="str">
        <x:v>00000000h</x:v>
      </x:c>
      <x:c r="I232" s="55" t="str">
        <x:v>42200000h</x:v>
      </x:c>
      <x:c r="J232" s="55" t="str">
        <x:v>00000001h</x:v>
      </x:c>
      <x:c r="K232" s="55" t="str">
        <x:v>00000002h</x:v>
      </x:c>
      <x:c r="L232" s="61" t="str">
        <x:v>Barrière Statique — Décharge / bolt secondaire</x:v>
      </x:c>
      <x:c r="M232" s="61" t="str">
        <x:v>Élevée</x:v>
      </x:c>
      <x:c r="N232" s="61" t="str">
        <x:v>RAM2.dump / table statique LEVEL_01</x:v>
      </x:c>
    </x:row>
    <x:row r="233">
      <x:c r="A233" s="64" t="n">
        <x:v>227</x:v>
      </x:c>
      <x:c r="B233" s="64" t="n">
        <x:v>0</x:v>
      </x:c>
      <x:c r="C233" s="67" t="n">
        <x:v>50</x:v>
      </x:c>
      <x:c r="D233" s="67" t="n">
        <x:f>IF(B233=2,C233/2,C233)</x:f>
        <x:v>50</x:v>
      </x:c>
      <x:c r="E233" s="64" t="n">
        <x:v>1</x:v>
      </x:c>
      <x:c r="F233" s="64" t="n">
        <x:v>2</x:v>
      </x:c>
      <x:c r="G233" s="55" t="str">
        <x:v>09405BFCh</x:v>
      </x:c>
      <x:c r="H233" s="55" t="str">
        <x:v>00000000h</x:v>
      </x:c>
      <x:c r="I233" s="55" t="str">
        <x:v>42480000h</x:v>
      </x:c>
      <x:c r="J233" s="55" t="str">
        <x:v>00000001h</x:v>
      </x:c>
      <x:c r="K233" s="55" t="str">
        <x:v>00000002h</x:v>
      </x:c>
      <x:c r="L233" s="61" t="str">
        <x:v>Barrière Statique — Décharge / bolt secondaire</x:v>
      </x:c>
      <x:c r="M233" s="61" t="str">
        <x:v>Élevée</x:v>
      </x:c>
      <x:c r="N233" s="61" t="str">
        <x:v>RAM2.dump / table statique LEVEL_01</x:v>
      </x:c>
    </x:row>
    <x:row r="234">
      <x:c r="A234" s="64" t="n">
        <x:v>228</x:v>
      </x:c>
      <x:c r="B234" s="64" t="n">
        <x:v>0</x:v>
      </x:c>
      <x:c r="C234" s="67" t="n">
        <x:v>100</x:v>
      </x:c>
      <x:c r="D234" s="67" t="n">
        <x:f>IF(B234=2,C234/2,C234)</x:f>
        <x:v>100</x:v>
      </x:c>
      <x:c r="E234" s="64" t="n">
        <x:v>1</x:v>
      </x:c>
      <x:c r="F234" s="64" t="n">
        <x:v>2</x:v>
      </x:c>
      <x:c r="G234" s="55" t="str">
        <x:v>09405C0Ch</x:v>
      </x:c>
      <x:c r="H234" s="55" t="str">
        <x:v>00000000h</x:v>
      </x:c>
      <x:c r="I234" s="55" t="str">
        <x:v>42C80000h</x:v>
      </x:c>
      <x:c r="J234" s="55" t="str">
        <x:v>00000001h</x:v>
      </x:c>
      <x:c r="K234" s="55" t="str">
        <x:v>00000002h</x:v>
      </x:c>
      <x:c r="L234" s="61" t="str">
        <x:v>Barrière Statique — Décharge / bolt secondaire</x:v>
      </x:c>
      <x:c r="M234" s="61" t="str">
        <x:v>Élevée</x:v>
      </x:c>
      <x:c r="N234" s="61" t="str">
        <x:v>RAM2.dump / table statique LEVEL_01</x:v>
      </x:c>
    </x:row>
    <x:row r="235">
      <x:c r="A235" s="64" t="n">
        <x:v>229</x:v>
      </x:c>
      <x:c r="B235" s="64" t="n">
        <x:v>0</x:v>
      </x:c>
      <x:c r="C235" s="67" t="n">
        <x:v>150</x:v>
      </x:c>
      <x:c r="D235" s="67" t="n">
        <x:f>IF(B235=2,C235/2,C235)</x:f>
        <x:v>150</x:v>
      </x:c>
      <x:c r="E235" s="64" t="n">
        <x:v>1</x:v>
      </x:c>
      <x:c r="F235" s="64" t="n">
        <x:v>2</x:v>
      </x:c>
      <x:c r="G235" s="55" t="str">
        <x:v>09405C1Ch</x:v>
      </x:c>
      <x:c r="H235" s="55" t="str">
        <x:v>00000000h</x:v>
      </x:c>
      <x:c r="I235" s="55" t="str">
        <x:v>43160000h</x:v>
      </x:c>
      <x:c r="J235" s="55" t="str">
        <x:v>00000001h</x:v>
      </x:c>
      <x:c r="K235" s="55" t="str">
        <x:v>00000002h</x:v>
      </x:c>
      <x:c r="L235" s="61" t="str">
        <x:v>Barrière Statique — Décharge / bolt secondaire</x:v>
      </x:c>
      <x:c r="M235" s="61" t="str">
        <x:v>Élevée</x:v>
      </x:c>
      <x:c r="N235" s="61" t="str">
        <x:v>RAM2.dump / table statique LEVEL_01</x:v>
      </x:c>
    </x:row>
    <x:row r="236">
      <x:c r="A236" s="64" t="n">
        <x:v>230</x:v>
      </x:c>
      <x:c r="B236" s="64" t="n">
        <x:v>0</x:v>
      </x:c>
      <x:c r="C236" s="67" t="n">
        <x:v>200</x:v>
      </x:c>
      <x:c r="D236" s="67" t="n">
        <x:f>IF(B236=2,C236/2,C236)</x:f>
        <x:v>200</x:v>
      </x:c>
      <x:c r="E236" s="64" t="n">
        <x:v>1</x:v>
      </x:c>
      <x:c r="F236" s="64" t="n">
        <x:v>2</x:v>
      </x:c>
      <x:c r="G236" s="55" t="str">
        <x:v>09405C2Ch</x:v>
      </x:c>
      <x:c r="H236" s="55" t="str">
        <x:v>00000000h</x:v>
      </x:c>
      <x:c r="I236" s="55" t="str">
        <x:v>43480000h</x:v>
      </x:c>
      <x:c r="J236" s="55" t="str">
        <x:v>00000001h</x:v>
      </x:c>
      <x:c r="K236" s="55" t="str">
        <x:v>00000002h</x:v>
      </x:c>
      <x:c r="L236" s="61" t="str">
        <x:v>Barrière Statique — Décharge / bolt secondaire</x:v>
      </x:c>
      <x:c r="M236" s="61" t="str">
        <x:v>Élevée</x:v>
      </x:c>
      <x:c r="N236" s="61" t="str">
        <x:v>RAM2.dump / table statique LEVEL_01</x:v>
      </x:c>
    </x:row>
    <x:row r="237">
      <x:c r="A237" s="64" t="n">
        <x:v>231</x:v>
      </x:c>
      <x:c r="B237" s="64" t="n">
        <x:v>0</x:v>
      </x:c>
      <x:c r="C237" s="67" t="n">
        <x:v>75</x:v>
      </x:c>
      <x:c r="D237" s="67" t="n">
        <x:f>IF(B237=2,C237/2,C237)</x:f>
        <x:v>75</x:v>
      </x:c>
      <x:c r="E237" s="64" t="n">
        <x:v>1</x:v>
      </x:c>
      <x:c r="F237" s="64" t="n">
        <x:v>3</x:v>
      </x:c>
      <x:c r="G237" s="55" t="str">
        <x:v>09405C3Ch</x:v>
      </x:c>
      <x:c r="H237" s="55" t="str">
        <x:v>00000000h</x:v>
      </x:c>
      <x:c r="I237" s="55" t="str">
        <x:v>42960000h</x:v>
      </x:c>
      <x:c r="J237" s="55" t="str">
        <x:v>00000001h</x:v>
      </x:c>
      <x:c r="K237" s="55" t="str">
        <x:v>00000003h</x:v>
      </x:c>
      <x:c r="L237" s="61" t="str">
        <x:v>T.E.L.T. — Roquette principale</x:v>
      </x:c>
      <x:c r="M237" s="61" t="str">
        <x:v>Élevée</x:v>
      </x:c>
      <x:c r="N237" s="61" t="str">
        <x:v>RAM2.dump / table statique LEVEL_01</x:v>
      </x:c>
    </x:row>
    <x:row r="238">
      <x:c r="A238" s="64" t="n">
        <x:v>232</x:v>
      </x:c>
      <x:c r="B238" s="64" t="n">
        <x:v>0</x:v>
      </x:c>
      <x:c r="C238" s="67" t="n">
        <x:v>105</x:v>
      </x:c>
      <x:c r="D238" s="67" t="n">
        <x:f>IF(B238=2,C238/2,C238)</x:f>
        <x:v>105</x:v>
      </x:c>
      <x:c r="E238" s="64" t="n">
        <x:v>1</x:v>
      </x:c>
      <x:c r="F238" s="64" t="n">
        <x:v>3</x:v>
      </x:c>
      <x:c r="G238" s="55" t="str">
        <x:v>09405C4Ch</x:v>
      </x:c>
      <x:c r="H238" s="55" t="str">
        <x:v>00000000h</x:v>
      </x:c>
      <x:c r="I238" s="55" t="str">
        <x:v>42D20000h</x:v>
      </x:c>
      <x:c r="J238" s="55" t="str">
        <x:v>00000001h</x:v>
      </x:c>
      <x:c r="K238" s="55" t="str">
        <x:v>00000003h</x:v>
      </x:c>
      <x:c r="L238" s="61" t="str">
        <x:v>T.E.L.T. — Roquette principale</x:v>
      </x:c>
      <x:c r="M238" s="61" t="str">
        <x:v>Élevée</x:v>
      </x:c>
      <x:c r="N238" s="61" t="str">
        <x:v>RAM2.dump / table statique LEVEL_01</x:v>
      </x:c>
    </x:row>
    <x:row r="239">
      <x:c r="A239" s="64" t="n">
        <x:v>233</x:v>
      </x:c>
      <x:c r="B239" s="64" t="n">
        <x:v>0</x:v>
      </x:c>
      <x:c r="C239" s="67" t="n">
        <x:v>150</x:v>
      </x:c>
      <x:c r="D239" s="67" t="n">
        <x:f>IF(B239=2,C239/2,C239)</x:f>
        <x:v>150</x:v>
      </x:c>
      <x:c r="E239" s="64" t="n">
        <x:v>1</x:v>
      </x:c>
      <x:c r="F239" s="64" t="n">
        <x:v>3</x:v>
      </x:c>
      <x:c r="G239" s="55" t="str">
        <x:v>09405C5Ch</x:v>
      </x:c>
      <x:c r="H239" s="55" t="str">
        <x:v>00000000h</x:v>
      </x:c>
      <x:c r="I239" s="55" t="str">
        <x:v>43160000h</x:v>
      </x:c>
      <x:c r="J239" s="55" t="str">
        <x:v>00000001h</x:v>
      </x:c>
      <x:c r="K239" s="55" t="str">
        <x:v>00000003h</x:v>
      </x:c>
      <x:c r="L239" s="61" t="str">
        <x:v>T.E.L.T. — Roquette principale</x:v>
      </x:c>
      <x:c r="M239" s="61" t="str">
        <x:v>Élevée</x:v>
      </x:c>
      <x:c r="N239" s="61" t="str">
        <x:v>RAM2.dump / table statique LEVEL_01</x:v>
      </x:c>
    </x:row>
    <x:row r="240">
      <x:c r="A240" s="64" t="n">
        <x:v>234</x:v>
      </x:c>
      <x:c r="B240" s="64" t="n">
        <x:v>0</x:v>
      </x:c>
      <x:c r="C240" s="67" t="n">
        <x:v>220</x:v>
      </x:c>
      <x:c r="D240" s="67" t="n">
        <x:f>IF(B240=2,C240/2,C240)</x:f>
        <x:v>220</x:v>
      </x:c>
      <x:c r="E240" s="64" t="n">
        <x:v>1</x:v>
      </x:c>
      <x:c r="F240" s="64" t="n">
        <x:v>3</x:v>
      </x:c>
      <x:c r="G240" s="55" t="str">
        <x:v>09405C6Ch</x:v>
      </x:c>
      <x:c r="H240" s="55" t="str">
        <x:v>00000000h</x:v>
      </x:c>
      <x:c r="I240" s="55" t="str">
        <x:v>435C0000h</x:v>
      </x:c>
      <x:c r="J240" s="55" t="str">
        <x:v>00000001h</x:v>
      </x:c>
      <x:c r="K240" s="55" t="str">
        <x:v>00000003h</x:v>
      </x:c>
      <x:c r="L240" s="61" t="str">
        <x:v>T.E.L.T. — Roquette principale</x:v>
      </x:c>
      <x:c r="M240" s="61" t="str">
        <x:v>Élevée</x:v>
      </x:c>
      <x:c r="N240" s="61" t="str">
        <x:v>RAM2.dump / table statique LEVEL_01</x:v>
      </x:c>
    </x:row>
    <x:row r="241">
      <x:c r="A241" s="64" t="n">
        <x:v>235</x:v>
      </x:c>
      <x:c r="B241" s="64" t="n">
        <x:v>0</x:v>
      </x:c>
      <x:c r="C241" s="67" t="n">
        <x:v>75</x:v>
      </x:c>
      <x:c r="D241" s="67" t="n">
        <x:f>IF(B241=2,C241/2,C241)</x:f>
        <x:v>75</x:v>
      </x:c>
      <x:c r="E241" s="64" t="n">
        <x:v>0</x:v>
      </x:c>
      <x:c r="F241" s="64" t="n">
        <x:v>3</x:v>
      </x:c>
      <x:c r="G241" s="55" t="str">
        <x:v>09405C7Ch</x:v>
      </x:c>
      <x:c r="H241" s="55" t="str">
        <x:v>00000000h</x:v>
      </x:c>
      <x:c r="I241" s="55" t="str">
        <x:v>42960000h</x:v>
      </x:c>
      <x:c r="J241" s="55" t="str">
        <x:v>00000000h</x:v>
      </x:c>
      <x:c r="K241" s="55" t="str">
        <x:v>00000003h</x:v>
      </x:c>
      <x:c r="L241" s="61" t="str">
        <x:v>T.E.L.T. — Roquette alternative</x:v>
      </x:c>
      <x:c r="M241" s="61" t="str">
        <x:v>Élevée</x:v>
      </x:c>
      <x:c r="N241" s="61" t="str">
        <x:v>RAM2.dump / table statique LEVEL_01</x:v>
      </x:c>
    </x:row>
    <x:row r="242">
      <x:c r="A242" s="64" t="n">
        <x:v>236</x:v>
      </x:c>
      <x:c r="B242" s="64" t="n">
        <x:v>0</x:v>
      </x:c>
      <x:c r="C242" s="67" t="n">
        <x:v>105</x:v>
      </x:c>
      <x:c r="D242" s="67" t="n">
        <x:f>IF(B242=2,C242/2,C242)</x:f>
        <x:v>105</x:v>
      </x:c>
      <x:c r="E242" s="64" t="n">
        <x:v>0</x:v>
      </x:c>
      <x:c r="F242" s="64" t="n">
        <x:v>3</x:v>
      </x:c>
      <x:c r="G242" s="55" t="str">
        <x:v>09405C8Ch</x:v>
      </x:c>
      <x:c r="H242" s="55" t="str">
        <x:v>00000000h</x:v>
      </x:c>
      <x:c r="I242" s="55" t="str">
        <x:v>42D20000h</x:v>
      </x:c>
      <x:c r="J242" s="55" t="str">
        <x:v>00000000h</x:v>
      </x:c>
      <x:c r="K242" s="55" t="str">
        <x:v>00000003h</x:v>
      </x:c>
      <x:c r="L242" s="61" t="str">
        <x:v>T.E.L.T. — Roquette alternative</x:v>
      </x:c>
      <x:c r="M242" s="61" t="str">
        <x:v>Élevée</x:v>
      </x:c>
      <x:c r="N242" s="61" t="str">
        <x:v>RAM2.dump / table statique LEVEL_01</x:v>
      </x:c>
    </x:row>
    <x:row r="243">
      <x:c r="A243" s="64" t="n">
        <x:v>237</x:v>
      </x:c>
      <x:c r="B243" s="64" t="n">
        <x:v>0</x:v>
      </x:c>
      <x:c r="C243" s="67" t="n">
        <x:v>150</x:v>
      </x:c>
      <x:c r="D243" s="67" t="n">
        <x:f>IF(B243=2,C243/2,C243)</x:f>
        <x:v>150</x:v>
      </x:c>
      <x:c r="E243" s="64" t="n">
        <x:v>0</x:v>
      </x:c>
      <x:c r="F243" s="64" t="n">
        <x:v>3</x:v>
      </x:c>
      <x:c r="G243" s="55" t="str">
        <x:v>09405C9Ch</x:v>
      </x:c>
      <x:c r="H243" s="55" t="str">
        <x:v>00000000h</x:v>
      </x:c>
      <x:c r="I243" s="55" t="str">
        <x:v>43160000h</x:v>
      </x:c>
      <x:c r="J243" s="55" t="str">
        <x:v>00000000h</x:v>
      </x:c>
      <x:c r="K243" s="55" t="str">
        <x:v>00000003h</x:v>
      </x:c>
      <x:c r="L243" s="61" t="str">
        <x:v>T.E.L.T. — Roquette alternative</x:v>
      </x:c>
      <x:c r="M243" s="61" t="str">
        <x:v>Élevée</x:v>
      </x:c>
      <x:c r="N243" s="61" t="str">
        <x:v>RAM2.dump / table statique LEVEL_01</x:v>
      </x:c>
    </x:row>
    <x:row r="244">
      <x:c r="A244" s="64" t="n">
        <x:v>238</x:v>
      </x:c>
      <x:c r="B244" s="64" t="n">
        <x:v>0</x:v>
      </x:c>
      <x:c r="C244" s="67" t="n">
        <x:v>220</x:v>
      </x:c>
      <x:c r="D244" s="67" t="n">
        <x:f>IF(B244=2,C244/2,C244)</x:f>
        <x:v>220</x:v>
      </x:c>
      <x:c r="E244" s="64" t="n">
        <x:v>0</x:v>
      </x:c>
      <x:c r="F244" s="64" t="n">
        <x:v>3</x:v>
      </x:c>
      <x:c r="G244" s="55" t="str">
        <x:v>09405CACh</x:v>
      </x:c>
      <x:c r="H244" s="55" t="str">
        <x:v>00000000h</x:v>
      </x:c>
      <x:c r="I244" s="55" t="str">
        <x:v>435C0000h</x:v>
      </x:c>
      <x:c r="J244" s="55" t="str">
        <x:v>00000000h</x:v>
      </x:c>
      <x:c r="K244" s="55" t="str">
        <x:v>00000003h</x:v>
      </x:c>
      <x:c r="L244" s="61" t="str">
        <x:v>T.E.L.T. — Roquette alternative</x:v>
      </x:c>
      <x:c r="M244" s="61" t="str">
        <x:v>Élevée</x:v>
      </x:c>
      <x:c r="N244" s="61" t="str">
        <x:v>RAM2.dump / table statique LEVEL_01</x:v>
      </x:c>
    </x:row>
    <x:row r="245">
      <x:c r="A245" s="64" t="n">
        <x:v>239</x:v>
      </x:c>
      <x:c r="B245" s="64" t="n">
        <x:v>0</x:v>
      </x:c>
      <x:c r="C245" s="67" t="n">
        <x:v>800</x:v>
      </x:c>
      <x:c r="D245" s="67" t="n">
        <x:f>IF(B245=2,C245/2,C245)</x:f>
        <x:v>800</x:v>
      </x:c>
      <x:c r="E245" s="64" t="n">
        <x:v>11</x:v>
      </x:c>
      <x:c r="F245" s="64" t="n">
        <x:v>3</x:v>
      </x:c>
      <x:c r="G245" s="55" t="str">
        <x:v>09405CBCh</x:v>
      </x:c>
      <x:c r="H245" s="55" t="str">
        <x:v>00000000h</x:v>
      </x:c>
      <x:c r="I245" s="55" t="str">
        <x:v>44480000h</x:v>
      </x:c>
      <x:c r="J245" s="55" t="str">
        <x:v>0000000Bh</x:v>
      </x:c>
      <x:c r="K245" s="55" t="str">
        <x:v>00000003h</x:v>
      </x:c>
      <x:c r="L245" s="61" t="str">
        <x:v>T.E.L.T. — Explosion fixe</x:v>
      </x:c>
      <x:c r="M245" s="61" t="str">
        <x:v>Élevée</x:v>
      </x:c>
      <x:c r="N245" s="61" t="str">
        <x:v>RAM2.dump / table statique LEVEL_01</x:v>
      </x:c>
    </x:row>
    <x:row r="246">
      <x:c r="A246" s="64" t="n">
        <x:v>240</x:v>
      </x:c>
      <x:c r="B246" s="64" t="n">
        <x:v>1</x:v>
      </x:c>
      <x:c r="C246" s="67" t="n">
        <x:v>0.13333334028720856</x:v>
      </x:c>
      <x:c r="D246" s="67" t="n">
        <x:f>IF(B246=2,C246/2,C246)</x:f>
        <x:v>0.13333334028720856</x:v>
      </x:c>
      <x:c r="E246" s="64" t="n">
        <x:v>0</x:v>
      </x:c>
      <x:c r="F246" s="64" t="n">
        <x:v>0</x:v>
      </x:c>
      <x:c r="G246" s="55" t="str">
        <x:v>09405CCCh</x:v>
      </x:c>
      <x:c r="H246" s="55" t="str">
        <x:v>00000001h</x:v>
      </x:c>
      <x:c r="I246" s="55" t="str">
        <x:v>3E088889h</x:v>
      </x:c>
      <x:c r="J246" s="55" t="str">
        <x:v>00000000h</x:v>
      </x:c>
      <x:c r="K246" s="55" t="str">
        <x:v>00000000h</x:v>
      </x:c>
      <x:c r="L246" s="61" t="str"/>
      <x:c r="M246" s="61" t="str">
        <x:v>Non résolu</x:v>
      </x:c>
      <x:c r="N246" s="61" t="str">
        <x:v>RAM2.dump / table statique LEVEL_01</x:v>
      </x:c>
    </x:row>
    <x:row r="247">
      <x:c r="A247" s="64" t="n">
        <x:v>241</x:v>
      </x:c>
      <x:c r="B247" s="64" t="n">
        <x:v>0</x:v>
      </x:c>
      <x:c r="C247" s="67" t="n">
        <x:v>8</x:v>
      </x:c>
      <x:c r="D247" s="67" t="n">
        <x:f>IF(B247=2,C247/2,C247)</x:f>
        <x:v>8</x:v>
      </x:c>
      <x:c r="E247" s="64" t="n">
        <x:v>0</x:v>
      </x:c>
      <x:c r="F247" s="64" t="n">
        <x:v>2</x:v>
      </x:c>
      <x:c r="G247" s="55" t="str">
        <x:v>09405CDCh</x:v>
      </x:c>
      <x:c r="H247" s="55" t="str">
        <x:v>00000000h</x:v>
      </x:c>
      <x:c r="I247" s="55" t="str">
        <x:v>41000000h</x:v>
      </x:c>
      <x:c r="J247" s="55" t="str">
        <x:v>00000000h</x:v>
      </x:c>
      <x:c r="K247" s="55" t="str">
        <x:v>00000002h</x:v>
      </x:c>
      <x:c r="L247" s="61" t="str"/>
      <x:c r="M247" s="61" t="str">
        <x:v>Non résolu</x:v>
      </x:c>
      <x:c r="N247" s="61" t="str">
        <x:v>RAM2.dump / table statique LEVEL_01</x:v>
      </x:c>
    </x:row>
    <x:row r="248">
      <x:c r="A248" s="64" t="n">
        <x:v>242</x:v>
      </x:c>
      <x:c r="B248" s="64" t="n">
        <x:v>1</x:v>
      </x:c>
      <x:c r="C248" s="67" t="n">
        <x:v>0.20000001788139343</x:v>
      </x:c>
      <x:c r="D248" s="67" t="n">
        <x:f>IF(B248=2,C248/2,C248)</x:f>
        <x:v>0.20000001788139343</x:v>
      </x:c>
      <x:c r="E248" s="64" t="n">
        <x:v>0</x:v>
      </x:c>
      <x:c r="F248" s="64" t="n">
        <x:v>1</x:v>
      </x:c>
      <x:c r="G248" s="55" t="str">
        <x:v>09405CECh</x:v>
      </x:c>
      <x:c r="H248" s="55" t="str">
        <x:v>00000001h</x:v>
      </x:c>
      <x:c r="I248" s="55" t="str">
        <x:v>3E4CCCCEh</x:v>
      </x:c>
      <x:c r="J248" s="55" t="str">
        <x:v>00000000h</x:v>
      </x:c>
      <x:c r="K248" s="55" t="str">
        <x:v>00000001h</x:v>
      </x:c>
      <x:c r="L248" s="61" t="str"/>
      <x:c r="M248" s="61" t="str">
        <x:v>Non résolu</x:v>
      </x:c>
      <x:c r="N248" s="61" t="str">
        <x:v>RAM2.dump / table statique LEVEL_01</x:v>
      </x:c>
    </x:row>
    <x:row r="249">
      <x:c r="A249" s="64" t="n">
        <x:v>243</x:v>
      </x:c>
      <x:c r="B249" s="64" t="n">
        <x:v>1</x:v>
      </x:c>
      <x:c r="C249" s="67" t="n">
        <x:v>0.13333334028720856</x:v>
      </x:c>
      <x:c r="D249" s="67" t="n">
        <x:f>IF(B249=2,C249/2,C249)</x:f>
        <x:v>0.13333334028720856</x:v>
      </x:c>
      <x:c r="E249" s="64" t="n">
        <x:v>0</x:v>
      </x:c>
      <x:c r="F249" s="64" t="n">
        <x:v>0</x:v>
      </x:c>
      <x:c r="G249" s="55" t="str">
        <x:v>09405CFCh</x:v>
      </x:c>
      <x:c r="H249" s="55" t="str">
        <x:v>00000001h</x:v>
      </x:c>
      <x:c r="I249" s="55" t="str">
        <x:v>3E088889h</x:v>
      </x:c>
      <x:c r="J249" s="55" t="str">
        <x:v>00000000h</x:v>
      </x:c>
      <x:c r="K249" s="55" t="str">
        <x:v>00000000h</x:v>
      </x:c>
      <x:c r="L249" s="61" t="str"/>
      <x:c r="M249" s="61" t="str">
        <x:v>Non résolu</x:v>
      </x:c>
      <x:c r="N249" s="61" t="str">
        <x:v>RAM2.dump / table statique LEVEL_01</x:v>
      </x:c>
    </x:row>
    <x:row r="250">
      <x:c r="A250" s="64" t="n">
        <x:v>244</x:v>
      </x:c>
      <x:c r="B250" s="64" t="n">
        <x:v>1</x:v>
      </x:c>
      <x:c r="C250" s="67" t="n">
        <x:v>1.4000000953674316</x:v>
      </x:c>
      <x:c r="D250" s="67" t="n">
        <x:f>IF(B250=2,C250/2,C250)</x:f>
        <x:v>1.4000000953674316</x:v>
      </x:c>
      <x:c r="E250" s="64" t="n">
        <x:v>1</x:v>
      </x:c>
      <x:c r="F250" s="64" t="n">
        <x:v>1</x:v>
      </x:c>
      <x:c r="G250" s="55" t="str">
        <x:v>09405D0Ch</x:v>
      </x:c>
      <x:c r="H250" s="55" t="str">
        <x:v>00000001h</x:v>
      </x:c>
      <x:c r="I250" s="55" t="str">
        <x:v>3FB33334h</x:v>
      </x:c>
      <x:c r="J250" s="55" t="str">
        <x:v>00000001h</x:v>
      </x:c>
      <x:c r="K250" s="55" t="str">
        <x:v>00000001h</x:v>
      </x:c>
      <x:c r="L250" s="61" t="str"/>
      <x:c r="M250" s="61" t="str">
        <x:v>Non résolu</x:v>
      </x:c>
      <x:c r="N250" s="61" t="str">
        <x:v>RAM2.dump / table statique LEVEL_01</x:v>
      </x:c>
    </x:row>
    <x:row r="251">
      <x:c r="A251" s="64" t="n">
        <x:v>245</x:v>
      </x:c>
      <x:c r="B251" s="64" t="n">
        <x:v>0</x:v>
      </x:c>
      <x:c r="C251" s="67" t="n">
        <x:v>96</x:v>
      </x:c>
      <x:c r="D251" s="67" t="n">
        <x:f>IF(B251=2,C251/2,C251)</x:f>
        <x:v>96</x:v>
      </x:c>
      <x:c r="E251" s="64" t="n">
        <x:v>0</x:v>
      </x:c>
      <x:c r="F251" s="64" t="n">
        <x:v>2</x:v>
      </x:c>
      <x:c r="G251" s="55" t="str">
        <x:v>09405D1Ch</x:v>
      </x:c>
      <x:c r="H251" s="55" t="str">
        <x:v>00000000h</x:v>
      </x:c>
      <x:c r="I251" s="55" t="str">
        <x:v>42C00000h</x:v>
      </x:c>
      <x:c r="J251" s="55" t="str">
        <x:v>00000000h</x:v>
      </x:c>
      <x:c r="K251" s="55" t="str">
        <x:v>00000002h</x:v>
      </x:c>
      <x:c r="L251" s="61" t="str"/>
      <x:c r="M251" s="61" t="str">
        <x:v>Non résolu</x:v>
      </x:c>
      <x:c r="N251" s="61" t="str">
        <x:v>RAM2.dump / table statique LEVEL_01</x:v>
      </x:c>
    </x:row>
    <x:row r="252">
      <x:c r="A252" s="64" t="n">
        <x:v>246</x:v>
      </x:c>
      <x:c r="B252" s="64" t="n">
        <x:v>0</x:v>
      </x:c>
      <x:c r="C252" s="67" t="n">
        <x:v>100</x:v>
      </x:c>
      <x:c r="D252" s="67" t="n">
        <x:f>IF(B252=2,C252/2,C252)</x:f>
        <x:v>100</x:v>
      </x:c>
      <x:c r="E252" s="64" t="n">
        <x:v>2</x:v>
      </x:c>
      <x:c r="F252" s="64" t="n">
        <x:v>3</x:v>
      </x:c>
      <x:c r="G252" s="55" t="str">
        <x:v>09405D2Ch</x:v>
      </x:c>
      <x:c r="H252" s="55" t="str">
        <x:v>00000000h</x:v>
      </x:c>
      <x:c r="I252" s="55" t="str">
        <x:v>42C80000h</x:v>
      </x:c>
      <x:c r="J252" s="55" t="str">
        <x:v>00000002h</x:v>
      </x:c>
      <x:c r="K252" s="55" t="str">
        <x:v>00000003h</x:v>
      </x:c>
      <x:c r="L252" s="61" t="str"/>
      <x:c r="M252" s="61" t="str">
        <x:v>Non résolu</x:v>
      </x:c>
      <x:c r="N252" s="61" t="str">
        <x:v>RAM2.dump / table statique LEVEL_01</x:v>
      </x:c>
    </x:row>
    <x:row r="253">
      <x:c r="A253" s="64" t="n">
        <x:v>247</x:v>
      </x:c>
      <x:c r="B253" s="64" t="n">
        <x:v>0</x:v>
      </x:c>
      <x:c r="C253" s="67" t="n">
        <x:v>60</x:v>
      </x:c>
      <x:c r="D253" s="67" t="n">
        <x:f>IF(B253=2,C253/2,C253)</x:f>
        <x:v>60</x:v>
      </x:c>
      <x:c r="E253" s="64" t="n">
        <x:v>0</x:v>
      </x:c>
      <x:c r="F253" s="64" t="n">
        <x:v>3</x:v>
      </x:c>
      <x:c r="G253" s="55" t="str">
        <x:v>09405D3Ch</x:v>
      </x:c>
      <x:c r="H253" s="55" t="str">
        <x:v>00000000h</x:v>
      </x:c>
      <x:c r="I253" s="55" t="str">
        <x:v>42700000h</x:v>
      </x:c>
      <x:c r="J253" s="55" t="str">
        <x:v>00000000h</x:v>
      </x:c>
      <x:c r="K253" s="55" t="str">
        <x:v>00000003h</x:v>
      </x:c>
      <x:c r="L253" s="61" t="str"/>
      <x:c r="M253" s="61" t="str">
        <x:v>Non résolu</x:v>
      </x:c>
      <x:c r="N253" s="61" t="str">
        <x:v>RAM2.dump / table statique LEVEL_01</x:v>
      </x:c>
    </x:row>
    <x:row r="254">
      <x:c r="A254" s="64" t="n">
        <x:v>248</x:v>
      </x:c>
      <x:c r="B254" s="64" t="n">
        <x:v>1</x:v>
      </x:c>
      <x:c r="C254" s="67" t="n">
        <x:v>1.3333333730697632</x:v>
      </x:c>
      <x:c r="D254" s="67" t="n">
        <x:f>IF(B254=2,C254/2,C254)</x:f>
        <x:v>1.3333333730697632</x:v>
      </x:c>
      <x:c r="E254" s="64" t="n">
        <x:v>0</x:v>
      </x:c>
      <x:c r="F254" s="64" t="n">
        <x:v>0</x:v>
      </x:c>
      <x:c r="G254" s="55" t="str">
        <x:v>09405D4Ch</x:v>
      </x:c>
      <x:c r="H254" s="55" t="str">
        <x:v>00000001h</x:v>
      </x:c>
      <x:c r="I254" s="55" t="str">
        <x:v>3FAAAAABh</x:v>
      </x:c>
      <x:c r="J254" s="55" t="str">
        <x:v>00000000h</x:v>
      </x:c>
      <x:c r="K254" s="55" t="str">
        <x:v>00000000h</x:v>
      </x:c>
      <x:c r="L254" s="61" t="str"/>
      <x:c r="M254" s="61" t="str">
        <x:v>Non résolu</x:v>
      </x:c>
      <x:c r="N254" s="61" t="str">
        <x:v>RAM2.dump / table statique LEVEL_01</x:v>
      </x:c>
    </x:row>
    <x:row r="255">
      <x:c r="A255" s="64" t="n">
        <x:v>249</x:v>
      </x:c>
      <x:c r="B255" s="64" t="n">
        <x:v>0</x:v>
      </x:c>
      <x:c r="C255" s="67" t="n">
        <x:v>0</x:v>
      </x:c>
      <x:c r="D255" s="67" t="n">
        <x:f>IF(B255=2,C255/2,C255)</x:f>
        <x:v>0</x:v>
      </x:c>
      <x:c r="E255" s="64" t="n">
        <x:v>6</x:v>
      </x:c>
      <x:c r="F255" s="64" t="n">
        <x:v>0</x:v>
      </x:c>
      <x:c r="G255" s="55" t="str">
        <x:v>09405D5Ch</x:v>
      </x:c>
      <x:c r="H255" s="55" t="str">
        <x:v>00000000h</x:v>
      </x:c>
      <x:c r="I255" s="55" t="str">
        <x:v>00000000h</x:v>
      </x:c>
      <x:c r="J255" s="55" t="str">
        <x:v>00000006h</x:v>
      </x:c>
      <x:c r="K255" s="55" t="str">
        <x:v>00000000h</x:v>
      </x:c>
      <x:c r="L255" s="61" t="str"/>
      <x:c r="M255" s="61" t="str">
        <x:v>Non résolu</x:v>
      </x:c>
      <x:c r="N255" s="61" t="str">
        <x:v>RAM2.dump / table statique LEVEL_01</x:v>
      </x:c>
    </x:row>
    <x:row r="256">
      <x:c r="A256" s="64" t="n">
        <x:v>250</x:v>
      </x:c>
      <x:c r="B256" s="64" t="n">
        <x:v>0</x:v>
      </x:c>
      <x:c r="C256" s="67" t="n">
        <x:v>0</x:v>
      </x:c>
      <x:c r="D256" s="67" t="n">
        <x:f>IF(B256=2,C256/2,C256)</x:f>
        <x:v>0</x:v>
      </x:c>
      <x:c r="E256" s="64" t="n">
        <x:v>7</x:v>
      </x:c>
      <x:c r="F256" s="64" t="n">
        <x:v>0</x:v>
      </x:c>
      <x:c r="G256" s="55" t="str">
        <x:v>09405D6Ch</x:v>
      </x:c>
      <x:c r="H256" s="55" t="str">
        <x:v>00000000h</x:v>
      </x:c>
      <x:c r="I256" s="55" t="str">
        <x:v>00000000h</x:v>
      </x:c>
      <x:c r="J256" s="55" t="str">
        <x:v>00000007h</x:v>
      </x:c>
      <x:c r="K256" s="55" t="str">
        <x:v>00000000h</x:v>
      </x:c>
      <x:c r="L256" s="61" t="str"/>
      <x:c r="M256" s="61" t="str">
        <x:v>Non résolu</x:v>
      </x:c>
      <x:c r="N256" s="61" t="str">
        <x:v>RAM2.dump / table statique LEVEL_01</x:v>
      </x:c>
    </x:row>
    <x:row r="257">
      <x:c r="A257" s="64" t="n">
        <x:v>251</x:v>
      </x:c>
      <x:c r="B257" s="64" t="n">
        <x:v>0</x:v>
      </x:c>
      <x:c r="C257" s="67" t="n">
        <x:v>200</x:v>
      </x:c>
      <x:c r="D257" s="67" t="n">
        <x:f>IF(B257=2,C257/2,C257)</x:f>
        <x:v>200</x:v>
      </x:c>
      <x:c r="E257" s="64" t="n">
        <x:v>0</x:v>
      </x:c>
      <x:c r="F257" s="64" t="n">
        <x:v>3</x:v>
      </x:c>
      <x:c r="G257" s="55" t="str">
        <x:v>09405D7Ch</x:v>
      </x:c>
      <x:c r="H257" s="55" t="str">
        <x:v>00000000h</x:v>
      </x:c>
      <x:c r="I257" s="55" t="str">
        <x:v>43480000h</x:v>
      </x:c>
      <x:c r="J257" s="55" t="str">
        <x:v>00000000h</x:v>
      </x:c>
      <x:c r="K257" s="55" t="str">
        <x:v>00000003h</x:v>
      </x:c>
      <x:c r="L257" s="61" t="str"/>
      <x:c r="M257" s="61" t="str">
        <x:v>Non résolu</x:v>
      </x:c>
      <x:c r="N257" s="61" t="str">
        <x:v>RAM2.dump / table statique LEVEL_01</x:v>
      </x:c>
    </x:row>
    <x:row r="258">
      <x:c r="A258" s="64" t="n">
        <x:v>252</x:v>
      </x:c>
      <x:c r="B258" s="64" t="n">
        <x:v>1</x:v>
      </x:c>
      <x:c r="C258" s="67" t="n">
        <x:v>0.9333333969116211</x:v>
      </x:c>
      <x:c r="D258" s="67" t="n">
        <x:f>IF(B258=2,C258/2,C258)</x:f>
        <x:v>0.9333333969116211</x:v>
      </x:c>
      <x:c r="E258" s="64" t="n">
        <x:v>0</x:v>
      </x:c>
      <x:c r="F258" s="64" t="n">
        <x:v>0</x:v>
      </x:c>
      <x:c r="G258" s="55" t="str">
        <x:v>09405D8Ch</x:v>
      </x:c>
      <x:c r="H258" s="55" t="str">
        <x:v>00000001h</x:v>
      </x:c>
      <x:c r="I258" s="55" t="str">
        <x:v>3F6EEEF0h</x:v>
      </x:c>
      <x:c r="J258" s="55" t="str">
        <x:v>00000000h</x:v>
      </x:c>
      <x:c r="K258" s="55" t="str">
        <x:v>00000000h</x:v>
      </x:c>
      <x:c r="L258" s="61" t="str"/>
      <x:c r="M258" s="61" t="str">
        <x:v>Non résolu</x:v>
      </x:c>
      <x:c r="N258" s="61" t="str">
        <x:v>RAM2.dump / table statique LEVEL_01</x:v>
      </x:c>
    </x:row>
    <x:row r="259">
      <x:c r="A259" s="64" t="n">
        <x:v>253</x:v>
      </x:c>
      <x:c r="B259" s="64" t="n">
        <x:v>1</x:v>
      </x:c>
      <x:c r="C259" s="67" t="n">
        <x:v>0.8000000715255737</x:v>
      </x:c>
      <x:c r="D259" s="67" t="n">
        <x:f>IF(B259=2,C259/2,C259)</x:f>
        <x:v>0.8000000715255737</x:v>
      </x:c>
      <x:c r="E259" s="64" t="n">
        <x:v>0</x:v>
      </x:c>
      <x:c r="F259" s="64" t="n">
        <x:v>0</x:v>
      </x:c>
      <x:c r="G259" s="55" t="str">
        <x:v>09405D9Ch</x:v>
      </x:c>
      <x:c r="H259" s="55" t="str">
        <x:v>00000001h</x:v>
      </x:c>
      <x:c r="I259" s="55" t="str">
        <x:v>3F4CCCCEh</x:v>
      </x:c>
      <x:c r="J259" s="55" t="str">
        <x:v>00000000h</x:v>
      </x:c>
      <x:c r="K259" s="55" t="str">
        <x:v>00000000h</x:v>
      </x:c>
      <x:c r="L259" s="61" t="str"/>
      <x:c r="M259" s="61" t="str">
        <x:v>Non résolu</x:v>
      </x:c>
      <x:c r="N259" s="61" t="str">
        <x:v>RAM2.dump / table statique LEVEL_01</x:v>
      </x:c>
    </x:row>
    <x:row r="260">
      <x:c r="A260" s="64" t="n">
        <x:v>254</x:v>
      </x:c>
      <x:c r="B260" s="64" t="n">
        <x:v>0</x:v>
      </x:c>
      <x:c r="C260" s="67" t="n">
        <x:v>64</x:v>
      </x:c>
      <x:c r="D260" s="67" t="n">
        <x:f>IF(B260=2,C260/2,C260)</x:f>
        <x:v>64</x:v>
      </x:c>
      <x:c r="E260" s="64" t="n">
        <x:v>0</x:v>
      </x:c>
      <x:c r="F260" s="64" t="n">
        <x:v>2</x:v>
      </x:c>
      <x:c r="G260" s="55" t="str">
        <x:v>09405DACh</x:v>
      </x:c>
      <x:c r="H260" s="55" t="str">
        <x:v>00000000h</x:v>
      </x:c>
      <x:c r="I260" s="55" t="str">
        <x:v>42800000h</x:v>
      </x:c>
      <x:c r="J260" s="55" t="str">
        <x:v>00000000h</x:v>
      </x:c>
      <x:c r="K260" s="55" t="str">
        <x:v>00000002h</x:v>
      </x:c>
      <x:c r="L260" s="61" t="str"/>
      <x:c r="M260" s="61" t="str">
        <x:v>Non résolu</x:v>
      </x:c>
      <x:c r="N260" s="61" t="str">
        <x:v>RAM2.dump / table statique LEVEL_01</x:v>
      </x:c>
    </x:row>
    <x:row r="261">
      <x:c r="A261" s="64" t="n">
        <x:v>255</x:v>
      </x:c>
      <x:c r="B261" s="64" t="n">
        <x:v>1</x:v>
      </x:c>
      <x:c r="C261" s="67" t="n">
        <x:v>1.3333333730697632</x:v>
      </x:c>
      <x:c r="D261" s="67" t="n">
        <x:f>IF(B261=2,C261/2,C261)</x:f>
        <x:v>1.3333333730697632</x:v>
      </x:c>
      <x:c r="E261" s="64" t="n">
        <x:v>0</x:v>
      </x:c>
      <x:c r="F261" s="64" t="n">
        <x:v>0</x:v>
      </x:c>
      <x:c r="G261" s="55" t="str">
        <x:v>09405DBCh</x:v>
      </x:c>
      <x:c r="H261" s="55" t="str">
        <x:v>00000001h</x:v>
      </x:c>
      <x:c r="I261" s="55" t="str">
        <x:v>3FAAAAABh</x:v>
      </x:c>
      <x:c r="J261" s="55" t="str">
        <x:v>00000000h</x:v>
      </x:c>
      <x:c r="K261" s="55" t="str">
        <x:v>00000000h</x:v>
      </x:c>
      <x:c r="L261" s="61" t="str"/>
      <x:c r="M261" s="61" t="str">
        <x:v>Non résolu</x:v>
      </x:c>
      <x:c r="N261" s="61" t="str">
        <x:v>RAM2.dump / table statique LEVEL_01</x:v>
      </x:c>
    </x:row>
    <x:row r="262">
      <x:c r="A262" s="64" t="n">
        <x:v>256</x:v>
      </x:c>
      <x:c r="B262" s="64" t="n">
        <x:v>1</x:v>
      </x:c>
      <x:c r="C262" s="67" t="n">
        <x:v>0.40000003576278687</x:v>
      </x:c>
      <x:c r="D262" s="67" t="n">
        <x:f>IF(B262=2,C262/2,C262)</x:f>
        <x:v>0.40000003576278687</x:v>
      </x:c>
      <x:c r="E262" s="64" t="n">
        <x:v>0</x:v>
      </x:c>
      <x:c r="F262" s="64" t="n">
        <x:v>0</x:v>
      </x:c>
      <x:c r="G262" s="55" t="str">
        <x:v>09405DCCh</x:v>
      </x:c>
      <x:c r="H262" s="55" t="str">
        <x:v>00000001h</x:v>
      </x:c>
      <x:c r="I262" s="55" t="str">
        <x:v>3ECCCCCEh</x:v>
      </x:c>
      <x:c r="J262" s="55" t="str">
        <x:v>00000000h</x:v>
      </x:c>
      <x:c r="K262" s="55" t="str">
        <x:v>00000000h</x:v>
      </x:c>
      <x:c r="L262" s="61" t="str"/>
      <x:c r="M262" s="61" t="str">
        <x:v>Non résolu</x:v>
      </x:c>
      <x:c r="N262" s="61" t="str">
        <x:v>RAM2.dump / table statique LEVEL_01</x:v>
      </x:c>
    </x:row>
    <x:row r="263">
      <x:c r="A263" s="64" t="n">
        <x:v>257</x:v>
      </x:c>
      <x:c r="B263" s="64" t="n">
        <x:v>1</x:v>
      </x:c>
      <x:c r="C263" s="67" t="n">
        <x:v>1.3333333730697632</x:v>
      </x:c>
      <x:c r="D263" s="67" t="n">
        <x:f>IF(B263=2,C263/2,C263)</x:f>
        <x:v>1.3333333730697632</x:v>
      </x:c>
      <x:c r="E263" s="64" t="n">
        <x:v>0</x:v>
      </x:c>
      <x:c r="F263" s="64" t="n">
        <x:v>0</x:v>
      </x:c>
      <x:c r="G263" s="55" t="str">
        <x:v>09405DDCh</x:v>
      </x:c>
      <x:c r="H263" s="55" t="str">
        <x:v>00000001h</x:v>
      </x:c>
      <x:c r="I263" s="55" t="str">
        <x:v>3FAAAAABh</x:v>
      </x:c>
      <x:c r="J263" s="55" t="str">
        <x:v>00000000h</x:v>
      </x:c>
      <x:c r="K263" s="55" t="str">
        <x:v>00000000h</x:v>
      </x:c>
      <x:c r="L263" s="61" t="str"/>
      <x:c r="M263" s="61" t="str">
        <x:v>Non résolu</x:v>
      </x:c>
      <x:c r="N263" s="61" t="str">
        <x:v>RAM2.dump / table statique LEVEL_01</x:v>
      </x:c>
    </x:row>
    <x:row r="264">
      <x:c r="A264" s="65" t="n">
        <x:v>258</x:v>
      </x:c>
      <x:c r="B264" s="65" t="n">
        <x:v>1</x:v>
      </x:c>
      <x:c r="C264" s="68" t="n">
        <x:v>4</x:v>
      </x:c>
      <x:c r="D264" s="68" t="n">
        <x:f>IF(B264=2,C264/2,C264)</x:f>
        <x:v>4</x:v>
      </x:c>
      <x:c r="E264" s="65" t="n">
        <x:v>0</x:v>
      </x:c>
      <x:c r="F264" s="65" t="n">
        <x:v>0</x:v>
      </x:c>
      <x:c r="G264" s="56" t="str">
        <x:v>09405DECh</x:v>
      </x:c>
      <x:c r="H264" s="56" t="str">
        <x:v>00000001h</x:v>
      </x:c>
      <x:c r="I264" s="56" t="str">
        <x:v>40800000h</x:v>
      </x:c>
      <x:c r="J264" s="56" t="str">
        <x:v>00000000h</x:v>
      </x:c>
      <x:c r="K264" s="56" t="str">
        <x:v>00000000h</x:v>
      </x:c>
      <x:c r="L264" s="62" t="str"/>
      <x:c r="M264" s="62" t="str">
        <x:v>Non résolu</x:v>
      </x:c>
      <x:c r="N264" s="62" t="str">
        <x:v>RAM2.dump / table statique LEVEL_01</x:v>
      </x:c>
    </x:row>
  </x:sheetData>
  <x:mergeCells>
    <x:mergeCell ref="A1:N1"/>
    <x:mergeCell ref="A2:N2"/>
  </x:mergeCells>
  <x:conditionalFormatting sqref="M6:M264">
    <x:cfRule type="containsText" dxfId="24" priority="1" operator="containsText" text="Élevée"/>
    <x:cfRule type="containsText" dxfId="25" priority="2" operator="containsText" text="Moyenne"/>
    <x:cfRule type="containsText" dxfId="26" priority="3" operator="containsText" text="Faible"/>
  </x:conditionalFormatting>
  <x:conditionalFormatting sqref="B6:B264">
    <x:cfRule type="cellIs" dxfId="27" priority="4" operator="equal">
      <x:formula>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585a9d212f414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22" hidden="0" customWidth="1"/>
    <x:col min="4" max="4" width="24" hidden="0" customWidth="1"/>
    <x:col min="5" max="5" width="31" hidden="0" customWidth="1"/>
    <x:col min="6" max="6" width="31" hidden="0" customWidth="1"/>
    <x:col min="7" max="7" width="31" hidden="0" customWidth="1"/>
    <x:col min="8" max="8" width="31" hidden="0" customWidth="1"/>
  </x:cols>
  <x:sheetData>
    <x:row r="1" ht="32" customHeight="1">
      <x:c r="A1" s="3" t="str">
        <x:v>Structures, fonctions et preuves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Repères suffisants pour reproduire l’extraction et distinguer données confirmées et champs non résolus.</x:v>
      </x:c>
      <x:c r="B2" s="7"/>
      <x:c r="C2" s="7"/>
      <x:c r="D2" s="7"/>
      <x:c r="E2" s="7"/>
      <x:c r="F2" s="7"/>
      <x:c r="G2" s="7"/>
      <x:c r="H2" s="7"/>
    </x:row>
    <x:row r="4">
      <x:c r="A4" s="9" t="str">
        <x:v>Sources Pokitaru</x:v>
      </x:c>
      <x:c r="B4" s="9"/>
      <x:c r="C4" s="9"/>
      <x:c r="D4" s="9"/>
      <x:c r="E4" s="9"/>
      <x:c r="F4" s="9"/>
      <x:c r="G4" s="9"/>
      <x:c r="H4" s="9"/>
    </x:row>
    <x:row r="5">
      <x:c r="A5" s="80" t="str">
        <x:v>LEVEL_01(1).PRX</x:v>
      </x:c>
      <x:c r="B5" s="54" t="str">
        <x:v>Code et données statiques</x:v>
      </x:c>
      <x:c r="C5" s="60" t="str">
        <x:v>d10a81d076fb44987a45314a020cda2f7e8b39f860b957911ca9365464676571</x:v>
      </x:c>
      <x:c r="D5" s="54" t="str">
        <x:v>Base runtime 0x09139D00</x:v>
      </x:c>
    </x:row>
    <x:row r="6">
      <x:c r="A6" s="81" t="str">
        <x:v>RAM2.dump</x:v>
      </x:c>
      <x:c r="B6" s="55" t="str">
        <x:v>Adresses relocalisées et structures vivantes</x:v>
      </x:c>
      <x:c r="C6" s="61" t="str">
        <x:v>5f68eceba120a58eb4c21c9dd1e9fc57ef96ab0ffcdbbb5fb17d37a60d599a3a</x:v>
      </x:c>
      <x:c r="D6" s="55" t="str">
        <x:v>Base dump 0x08800000</x:v>
      </x:c>
    </x:row>
    <x:row r="7">
      <x:c r="A7" s="82" t="str">
        <x:v>POKITARU.MB.WAD</x:v>
      </x:c>
      <x:c r="B7" s="56" t="str">
        <x:v>Instances et ressources du niveau</x:v>
      </x:c>
      <x:c r="C7" s="62" t="str">
        <x:v>7da60590aaab6e22b3569a31c2e3e61e1fadaad0b52f4deb324a6679f832e7fa</x:v>
      </x:c>
      <x:c r="D7" s="56" t="str">
        <x:v>Le décodage complet des instances reste hors de cette extraction</x:v>
      </x:c>
    </x:row>
    <x:row r="10">
      <x:c r="A10" s="35" t="str">
        <x:v>Structure d’inventaire d’arme — entrée de 0x58 octets</x:v>
      </x:c>
      <x:c r="B10" s="35"/>
      <x:c r="C10" s="35"/>
      <x:c r="D10" s="35"/>
      <x:c r="E10" s="35"/>
      <x:c r="F10" s="35"/>
      <x:c r="G10" s="35"/>
      <x:c r="H10" s="35"/>
    </x:row>
    <x:row r="11" ht="30" customHeight="1">
      <x:c r="A11" s="47" t="str">
        <x:v>Offset</x:v>
      </x:c>
      <x:c r="B11" s="48" t="str">
        <x:v>Type</x:v>
      </x:c>
      <x:c r="C11" s="48" t="str">
        <x:v>Rôle confirmé</x:v>
      </x:c>
      <x:c r="D11" s="49" t="str">
        <x:v>Preuve / fonction</x:v>
      </x:c>
    </x:row>
    <x:row r="12">
      <x:c r="A12" s="54" t="str">
        <x:v>+0x00</x:v>
      </x:c>
      <x:c r="B12" s="54" t="str">
        <x:v>ptr</x:v>
      </x:c>
      <x:c r="C12" s="54" t="str">
        <x:v>Nom interne</x:v>
      </x:c>
      <x:c r="D12" s="54" t="str">
        <x:v>Chaîne RAM</x:v>
      </x:c>
    </x:row>
    <x:row r="13">
      <x:c r="A13" s="55" t="str">
        <x:v>+0x04</x:v>
      </x:c>
      <x:c r="B13" s="55" t="str">
        <x:v>u32</x:v>
      </x:c>
      <x:c r="C13" s="55" t="str">
        <x:v>Catégorie</x:v>
      </x:c>
      <x:c r="D13" s="55" t="str">
        <x:v>Inventaire runtime</x:v>
      </x:c>
    </x:row>
    <x:row r="14">
      <x:c r="A14" s="55" t="str">
        <x:v>+0x10…+0x2C</x:v>
      </x:c>
      <x:c r="B14" s="55" t="str">
        <x:v>8 × ptr</x:v>
      </x:c>
      <x:c r="C14" s="55" t="str">
        <x:v>Records V1…V8</x:v>
      </x:c>
      <x:c r="D14" s="55" t="str">
        <x:v>0x09159468 / 0x091594C8</x:v>
      </x:c>
    </x:row>
    <x:row r="15">
      <x:c r="A15" s="55" t="str">
        <x:v>+0x30…+0x38</x:v>
      </x:c>
      <x:c r="B15" s="55" t="str">
        <x:v>3 × ptr</x:v>
      </x:c>
      <x:c r="C15" s="55" t="str">
        <x:v>Mods</x:v>
      </x:c>
      <x:c r="D15" s="55" t="str">
        <x:v>Record de 0x1C</x:v>
      </x:c>
    </x:row>
    <x:row r="16">
      <x:c r="A16" s="55" t="str">
        <x:v>+0x3C</x:v>
      </x:c>
      <x:c r="B16" s="55" t="str">
        <x:v>u32</x:v>
      </x:c>
      <x:c r="C16" s="55" t="str">
        <x:v>Niveau courant, base 0</x:v>
      </x:c>
      <x:c r="D16" s="55" t="str">
        <x:v>Sauvegarde/chargement</x:v>
      </x:c>
    </x:row>
    <x:row r="17">
      <x:c r="A17" s="55" t="str">
        <x:v>+0x40</x:v>
      </x:c>
      <x:c r="B17" s="55" t="str">
        <x:v>u32</x:v>
      </x:c>
      <x:c r="C17" s="55" t="str">
        <x:v>Munitions courantes</x:v>
      </x:c>
      <x:c r="D17" s="55" t="str">
        <x:v>Sauvegarde/chargement</x:v>
      </x:c>
    </x:row>
    <x:row r="18">
      <x:c r="A18" s="55" t="str">
        <x:v>+0x44</x:v>
      </x:c>
      <x:c r="B18" s="55" t="str">
        <x:v>u32</x:v>
      </x:c>
      <x:c r="C18" s="55" t="str">
        <x:v>XP courante</x:v>
      </x:c>
      <x:c r="D18" s="55" t="str">
        <x:v>0x09159598</x:v>
      </x:c>
    </x:row>
    <x:row r="19">
      <x:c r="A19" s="55" t="str">
        <x:v>+0x48</x:v>
      </x:c>
      <x:c r="B19" s="55" t="str">
        <x:v>u32</x:v>
      </x:c>
      <x:c r="C19" s="55" t="str">
        <x:v>Rang d’acquisition</x:v>
      </x:c>
      <x:c r="D19" s="55" t="str">
        <x:v>Multiplicateur de rattrapage XP</x:v>
      </x:c>
    </x:row>
    <x:row r="20">
      <x:c r="A20" s="55" t="str">
        <x:v>+0x4C…+0x51</x:v>
      </x:c>
      <x:c r="B20" s="55" t="str">
        <x:v>u8</x:v>
      </x:c>
      <x:c r="C20" s="55" t="str">
        <x:v>Mods acquis / actifs</x:v>
      </x:c>
      <x:c r="D20" s="55" t="str">
        <x:v>Sauvegarde/chargement</x:v>
      </x:c>
    </x:row>
    <x:row r="21">
      <x:c r="A21" s="56" t="str">
        <x:v>+0x54</x:v>
      </x:c>
      <x:c r="B21" s="56" t="str">
        <x:v>u32</x:v>
      </x:c>
      <x:c r="C21" s="56" t="str">
        <x:v>Possession</x:v>
      </x:c>
      <x:c r="D21" s="56" t="str">
        <x:v>Inventaire runtime</x:v>
      </x:c>
    </x:row>
    <x:row r="24">
      <x:c r="A24" s="35" t="str">
        <x:v>Record de niveau d’arme — 0x50 octets</x:v>
      </x:c>
      <x:c r="B24" s="35"/>
      <x:c r="C24" s="35"/>
      <x:c r="D24" s="35"/>
      <x:c r="E24" s="35"/>
      <x:c r="F24" s="35"/>
      <x:c r="G24" s="35"/>
      <x:c r="H24" s="35"/>
    </x:row>
    <x:row r="25" ht="30" customHeight="1">
      <x:c r="A25" s="47" t="str">
        <x:v>Offset</x:v>
      </x:c>
      <x:c r="B25" s="48" t="str">
        <x:v>Type</x:v>
      </x:c>
      <x:c r="C25" s="48" t="str">
        <x:v>Rôle</x:v>
      </x:c>
      <x:c r="D25" s="49" t="str">
        <x:v>Confiance / remarque</x:v>
      </x:c>
    </x:row>
    <x:row r="26">
      <x:c r="A26" s="54" t="str">
        <x:v>+0x1C</x:v>
      </x:c>
      <x:c r="B26" s="54" t="str">
        <x:v>u32</x:v>
      </x:c>
      <x:c r="C26" s="54" t="str">
        <x:v>Prix initial V1 ou achat Titan V4</x:v>
      </x:c>
      <x:c r="D26" s="54" t="str">
        <x:v>Élevée</x:v>
      </x:c>
    </x:row>
    <x:row r="27">
      <x:c r="A27" s="55" t="str">
        <x:v>+0x20</x:v>
      </x:c>
      <x:c r="B27" s="55" t="str">
        <x:v>u32</x:v>
      </x:c>
      <x:c r="C27" s="55" t="str">
        <x:v>Seuil XP pour le niveau suivant</x:v>
      </x:c>
      <x:c r="D27" s="55" t="str">
        <x:v>Élevée</x:v>
      </x:c>
    </x:row>
    <x:row r="28">
      <x:c r="A28" s="55" t="str">
        <x:v>+0x24</x:v>
      </x:c>
      <x:c r="B28" s="55" t="str">
        <x:v>u32</x:v>
      </x:c>
      <x:c r="C28" s="55" t="str">
        <x:v>Enum / catégorie de niveau</x:v>
      </x:c>
      <x:c r="D28" s="55" t="str">
        <x:v>Élevée — ce n’est pas un dégât</x:v>
      </x:c>
    </x:row>
    <x:row r="29">
      <x:c r="A29" s="55" t="str">
        <x:v>+0x28/+0x2C/+0x30</x:v>
      </x:c>
      <x:c r="B29" s="55" t="str">
        <x:v>u32</x:v>
      </x:c>
      <x:c r="C29" s="55" t="str">
        <x:v>IDs de ressources/présentation</x:v>
      </x:c>
      <x:c r="D29" s="55" t="str">
        <x:v>Valeurs extraites, sous-rôle partiel</x:v>
      </x:c>
    </x:row>
    <x:row r="30">
      <x:c r="A30" s="55" t="str">
        <x:v>+0x34</x:v>
      </x:c>
      <x:c r="B30" s="55" t="str">
        <x:v>u32</x:v>
      </x:c>
      <x:c r="C30" s="55" t="str">
        <x:v>Coût d’une unité de munition</x:v>
      </x:c>
      <x:c r="D30" s="55" t="str">
        <x:v>Élevée — chemin vendeur recoupé</x:v>
      </x:c>
    </x:row>
    <x:row r="31">
      <x:c r="A31" s="55" t="str">
        <x:v>+0x38</x:v>
      </x:c>
      <x:c r="B31" s="55" t="str">
        <x:v>u32</x:v>
      </x:c>
      <x:c r="C31" s="55" t="str">
        <x:v>Munitions maximales</x:v>
      </x:c>
      <x:c r="D31" s="55" t="str">
        <x:v>Élevée</x:v>
      </x:c>
    </x:row>
    <x:row r="32">
      <x:c r="A32" s="56" t="str">
        <x:v>+0x3C</x:v>
      </x:c>
      <x:c r="B32" s="56" t="str">
        <x:v>u32</x:v>
      </x:c>
      <x:c r="C32" s="56" t="str">
        <x:v>Quantité achetée / pack</x:v>
      </x:c>
      <x:c r="D32" s="56" t="str">
        <x:v>Élevée</x:v>
      </x:c>
    </x:row>
    <x:row r="35">
      <x:c r="A35" s="9" t="str">
        <x:v>Fonctions et formules</x:v>
      </x:c>
      <x:c r="B35" s="9"/>
      <x:c r="C35" s="9"/>
      <x:c r="D35" s="9"/>
      <x:c r="E35" s="9"/>
      <x:c r="F35" s="9"/>
      <x:c r="G35" s="9"/>
      <x:c r="H35" s="9"/>
    </x:row>
    <x:row r="36" ht="30" customHeight="1">
      <x:c r="A36" s="47" t="str">
        <x:v>Adresse</x:v>
      </x:c>
      <x:c r="B36" s="48" t="str">
        <x:v>Rôle</x:v>
      </x:c>
      <x:c r="C36" s="48" t="str">
        <x:v>Formule / comportement</x:v>
      </x:c>
      <x:c r="D36" s="49" t="str">
        <x:v>Confiance</x:v>
      </x:c>
    </x:row>
    <x:row r="37">
      <x:c r="A37" s="54" t="str">
        <x:v>0915941Ch</x:v>
      </x:c>
      <x:c r="B37" s="60" t="str">
        <x:v>Obtenir une entrée d’arme</x:v>
      </x:c>
      <x:c r="C37" s="60" t="str">
        <x:v>Index → entrée de 0x58</x:v>
      </x:c>
      <x:c r="D37" s="60" t="str">
        <x:v>Élevée</x:v>
      </x:c>
    </x:row>
    <x:row r="38">
      <x:c r="A38" s="55" t="str">
        <x:v>09159468h</x:v>
      </x:c>
      <x:c r="B38" s="61" t="str">
        <x:v>Record courant</x:v>
      </x:c>
      <x:c r="C38" s="61" t="str">
        <x:v>Entrée + niveau courant</x:v>
      </x:c>
      <x:c r="D38" s="61" t="str">
        <x:v>Élevée</x:v>
      </x:c>
    </x:row>
    <x:row r="39">
      <x:c r="A39" s="55" t="str">
        <x:v>09159598h</x:v>
      </x:c>
      <x:c r="B39" s="61" t="str">
        <x:v>Ajouter XP / level-up</x:v>
      </x:c>
      <x:c r="C39" s="61" t="str">
        <x:v>V1–V4: rattrapage + plafond seuil/3; V5+: XP brute; level-up si XP &gt; seuil</x:v>
      </x:c>
      <x:c r="D39" s="61" t="str">
        <x:v>Élevée</x:v>
      </x:c>
    </x:row>
    <x:row r="40">
      <x:c r="A40" s="55" t="str">
        <x:v>0914A624h</x:v>
      </x:c>
      <x:c r="B40" s="61" t="str">
        <x:v>Créditer XP à l’arme</x:v>
      </x:c>
      <x:c r="C40" s="61" t="str">
        <x:v>Résultat de dégâts → XP cible → arme</x:v>
      </x:c>
      <x:c r="D40" s="61" t="str">
        <x:v>Élevée</x:v>
      </x:c>
    </x:row>
    <x:row r="41">
      <x:c r="A41" s="55" t="str">
        <x:v>091A5F58h</x:v>
      </x:c>
      <x:c r="B41" s="61" t="str">
        <x:v>XP de la cible</x:v>
      </x:c>
      <x:c r="C41" s="61" t="str">
        <x:v>Retour seulement pour cible éligible et événement de mort/type 3</x:v>
      </x:c>
      <x:c r="D41" s="61" t="str">
        <x:v>Élevée</x:v>
      </x:c>
    </x:row>
    <x:row r="42">
      <x:c r="A42" s="55" t="str">
        <x:v>0919D764h</x:v>
      </x:c>
      <x:c r="B42" s="61" t="str">
        <x:v>Dégâts par index</x:v>
      </x:c>
      <x:c r="C42" s="61" t="str">
        <x:v>index × 0x10 + 0x09404DCC</x:v>
      </x:c>
      <x:c r="D42" s="61" t="str">
        <x:v>Élevée</x:v>
      </x:c>
    </x:row>
    <x:row r="43">
      <x:c r="A43" s="55" t="str">
        <x:v>091A4478h</x:v>
      </x:c>
      <x:c r="B43" s="61" t="str">
        <x:v>XP ennemi</x:v>
      </x:c>
      <x:c r="C43" s="61" t="str">
        <x:v>XP base × coeff XP ÷ diviseur dynamique × pénalité contextuelle</x:v>
      </x:c>
      <x:c r="D43" s="61" t="str">
        <x:v>Élevée</x:v>
      </x:c>
    </x:row>
    <x:row r="44">
      <x:c r="A44" s="55" t="str">
        <x:v>0925A3D4h</x:v>
      </x:c>
      <x:c r="B44" s="61" t="str">
        <x:v>Budget de boulons ennemi</x:v>
      </x:c>
      <x:c r="C44" s="61" t="str">
        <x:v>7000 × coeff récompense ÷ diviseur dynamique × multiplicateur de mode</x:v>
      </x:c>
      <x:c r="D44" s="61" t="str">
        <x:v>Élevée</x:v>
      </x:c>
    </x:row>
    <x:row r="45">
      <x:c r="A45" s="56" t="str">
        <x:v>091A42F0h</x:v>
      </x:c>
      <x:c r="B45" s="62" t="str">
        <x:v>Facteur contextuel XP</x:v>
      </x:c>
      <x:c r="C45" s="62" t="str">
        <x:v>&lt;12: 100/75/50/25 % par paliers; sinon 13/256</x:v>
      </x:c>
      <x:c r="D45" s="62" t="str">
        <x:v>Élevée sur le calcul, rôle exact du compteur non nommé</x:v>
      </x:c>
    </x:row>
    <x:row r="48">
      <x:c r="A48" s="35" t="str">
        <x:v>Descripteur Moby — champs utilisés ici</x:v>
      </x:c>
      <x:c r="B48" s="35"/>
      <x:c r="C48" s="35"/>
      <x:c r="D48" s="35"/>
      <x:c r="E48" s="35"/>
      <x:c r="F48" s="35"/>
      <x:c r="G48" s="35"/>
      <x:c r="H48" s="35"/>
    </x:row>
    <x:row r="49" ht="30" customHeight="1">
      <x:c r="A49" s="47" t="str">
        <x:v>Offset</x:v>
      </x:c>
      <x:c r="B49" s="48" t="str">
        <x:v>Rôle</x:v>
      </x:c>
      <x:c r="C49" s="48" t="str">
        <x:v>Usage dans ce classeur</x:v>
      </x:c>
      <x:c r="D49" s="49" t="str">
        <x:v>Confiance</x:v>
      </x:c>
    </x:row>
    <x:row r="50">
      <x:c r="A50" s="54" t="str">
        <x:v>+0x00</x:v>
      </x:c>
      <x:c r="B50" s="60" t="str">
        <x:v>Nom de classe</x:v>
      </x:c>
      <x:c r="C50" s="60" t="str">
        <x:v>Identification</x:v>
      </x:c>
      <x:c r="D50" s="60" t="str">
        <x:v>Élevée</x:v>
      </x:c>
    </x:row>
    <x:row r="51">
      <x:c r="A51" s="55" t="str">
        <x:v>+0x04/+0x08/+0x0C/+0x10</x:v>
      </x:c>
      <x:c r="B51" s="61" t="str">
        <x:v>Init/Destroy/Update/Event</x:v>
      </x:c>
      <x:c r="C51" s="61" t="str">
        <x:v>Cartographie des callbacks</x:v>
      </x:c>
      <x:c r="D51" s="61" t="str">
        <x:v>Élevée</x:v>
      </x:c>
    </x:row>
    <x:row r="52">
      <x:c r="A52" s="55" t="str">
        <x:v>+0x14/+0x18/+0x1C</x:v>
      </x:c>
      <x:c r="B52" s="61" t="str">
        <x:v>Schéma PVar / taille PVar / privé</x:v>
      </x:c>
      <x:c r="C52" s="61" t="str">
        <x:v>Structure instance</x:v>
      </x:c>
      <x:c r="D52" s="61" t="str">
        <x:v>Élevée</x:v>
      </x:c>
    </x:row>
    <x:row r="53">
      <x:c r="A53" s="55" t="str">
        <x:v>+0x34</x:v>
      </x:c>
      <x:c r="B53" s="61" t="str">
        <x:v>Table de coefficient récompense</x:v>
      </x:c>
      <x:c r="C53" s="61" t="str">
        <x:v>Budget de boulons; confirmé via 0x0925A3D4</x:v>
      </x:c>
      <x:c r="D53" s="61" t="str">
        <x:v>Élevée</x:v>
      </x:c>
    </x:row>
    <x:row r="54">
      <x:c r="A54" s="55" t="str">
        <x:v>+0x38</x:v>
      </x:c>
      <x:c r="B54" s="61" t="str">
        <x:v>Table de coefficient XP</x:v>
      </x:c>
      <x:c r="C54" s="61" t="str">
        <x:v>XP; confirmé via 0x091A4478</x:v>
      </x:c>
      <x:c r="D54" s="61" t="str">
        <x:v>Élevée</x:v>
      </x:c>
    </x:row>
    <x:row r="55">
      <x:c r="A55" s="56" t="str">
        <x:v>+0x3C</x:v>
      </x:c>
      <x:c r="B55" s="62" t="str">
        <x:v>Diviseur/état de classe</x:v>
      </x:c>
      <x:c r="C55" s="62" t="str">
        <x:v>Lu dans les deux formules; sémantique exacte à confirmer</x:v>
      </x:c>
      <x:c r="D55" s="62" t="str">
        <x:v>Moyenne</x:v>
      </x:c>
    </x:row>
    <x:row r="58">
      <x:c r="A58" s="9" t="str">
        <x:v>Points non résolus sans mesure ou décodage supplémentaire</x:v>
      </x:c>
      <x:c r="B58" s="9"/>
      <x:c r="C58" s="9"/>
      <x:c r="D58" s="9"/>
      <x:c r="E58" s="9"/>
      <x:c r="F58" s="9"/>
      <x:c r="G58" s="9"/>
      <x:c r="H58" s="9"/>
    </x:row>
    <x:row r="59" ht="30" customHeight="1">
      <x:c r="A59" s="39" t="str">
        <x:v>• Points de vie exacts des Crab, TrainingBot, TMRobotHeadB et TMRobotTorsoB.</x:v>
      </x:c>
      <x:c r="B59" s="39"/>
      <x:c r="C59" s="39"/>
      <x:c r="D59" s="39"/>
      <x:c r="E59" s="39"/>
      <x:c r="F59" s="39"/>
      <x:c r="G59" s="39"/>
      <x:c r="H59" s="39"/>
    </x:row>
    <x:row r="60" ht="30" customHeight="1">
      <x:c r="A60" s="39" t="str">
        <x:v>• Attribution complète des lignes de dégâts encore sans callsite nominal dans la table brute.</x:v>
      </x:c>
      <x:c r="B60" s="39"/>
      <x:c r="C60" s="39"/>
      <x:c r="D60" s="39"/>
      <x:c r="E60" s="39"/>
      <x:c r="F60" s="39"/>
      <x:c r="G60" s="39"/>
      <x:c r="H60" s="39"/>
    </x:row>
    <x:row r="61" ht="30" customHeight="1">
      <x:c r="A61" s="39" t="str">
        <x:v>• Cooldown de tir principal de certaines armes; plusieurs cadenceurs sont delta-based ou cachés dans des états privés.</x:v>
      </x:c>
      <x:c r="B61" s="39"/>
      <x:c r="C61" s="39"/>
      <x:c r="D61" s="39"/>
      <x:c r="E61" s="39"/>
      <x:c r="F61" s="39"/>
      <x:c r="G61" s="39"/>
      <x:c r="H61" s="39"/>
    </x:row>
    <x:row r="62" ht="30" customHeight="1">
      <x:c r="A62" s="39" t="str">
        <x:v>• Dégâts exacts des attaques ennemies lorsque la valeur est fournie par les instances/PVars plutôt que par un index statique.</x:v>
      </x:c>
      <x:c r="B62" s="39"/>
      <x:c r="C62" s="39"/>
      <x:c r="D62" s="39"/>
      <x:c r="E62" s="39"/>
      <x:c r="F62" s="39"/>
      <x:c r="G62" s="39"/>
      <x:c r="H62" s="39"/>
    </x:row>
    <x:row r="63" ht="30" customHeight="1">
      <x:c r="A63" s="39" t="str">
        <x:v>• Valeur damage de chaque instance Fire dans POKITARU.MB.WAD.</x:v>
      </x:c>
      <x:c r="B63" s="39"/>
      <x:c r="C63" s="39"/>
      <x:c r="D63" s="39"/>
      <x:c r="E63" s="39"/>
      <x:c r="F63" s="39"/>
      <x:c r="G63" s="39"/>
      <x:c r="H63" s="39"/>
    </x:row>
    <x:row r="64" ht="30" customHeight="1">
      <x:c r="A64" s="39" t="str">
        <x:v>• Résultat final de récompense/XP pour chaque placement, car le diviseur de classe et la pénalité sont dynamiques.</x:v>
      </x:c>
      <x:c r="B64" s="39"/>
      <x:c r="C64" s="39"/>
      <x:c r="D64" s="39"/>
      <x:c r="E64" s="39"/>
      <x:c r="F64" s="39"/>
      <x:c r="G64" s="39"/>
      <x:c r="H64" s="39"/>
    </x:row>
    <x:row r="65" ht="30" customHeight="1">
      <x:c r="A65" s="39" t="str">
        <x:v>• Validation dynamique 30/60 FPS de toutes les courbes continues, notamment DPS, nombre de hits et XP.</x:v>
      </x:c>
      <x:c r="B65" s="39"/>
      <x:c r="C65" s="39"/>
      <x:c r="D65" s="39"/>
      <x:c r="E65" s="39"/>
      <x:c r="F65" s="39"/>
      <x:c r="G65" s="39"/>
      <x:c r="H65" s="39"/>
    </x:row>
  </x:sheetData>
  <x:mergeCells>
    <x:mergeCell ref="A1:H1"/>
    <x:mergeCell ref="A2:H2"/>
    <x:mergeCell ref="A4:H4"/>
    <x:mergeCell ref="A10:H10"/>
    <x:mergeCell ref="A24:H24"/>
    <x:mergeCell ref="A35:H35"/>
    <x:mergeCell ref="A48:H48"/>
    <x:mergeCell ref="A58:H58"/>
    <x:mergeCell ref="A59:H59"/>
    <x:mergeCell ref="A60:H60"/>
    <x:mergeCell ref="A61:H61"/>
    <x:mergeCell ref="A62:H62"/>
    <x:mergeCell ref="A63:H63"/>
    <x:mergeCell ref="A64:H64"/>
    <x:mergeCell ref="A65:H65"/>
  </x:mergeCells>
  <x:pageMargins left="0.7" right="0.7" top="0.75" bottom="0.75" header="0.3" footer="0.3"/>
</x:worksheet>
</file>